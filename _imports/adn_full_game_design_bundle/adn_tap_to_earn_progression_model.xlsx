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Controls" sheetId="2" state="visible" r:id="rId2"/>
    <sheet xmlns:r="http://schemas.openxmlformats.org/officeDocument/2006/relationships" name="Feature_Unlocks" sheetId="3" state="visible" r:id="rId3"/>
    <sheet xmlns:r="http://schemas.openxmlformats.org/officeDocument/2006/relationships" name="Player_Levels" sheetId="4" state="visible" r:id="rId4"/>
    <sheet xmlns:r="http://schemas.openxmlformats.org/officeDocument/2006/relationships" name="Upgrade_Params" sheetId="5" state="visible" r:id="rId5"/>
    <sheet xmlns:r="http://schemas.openxmlformats.org/officeDocument/2006/relationships" name="Upgrade_Tiers" sheetId="6" state="visible" r:id="rId6"/>
    <sheet xmlns:r="http://schemas.openxmlformats.org/officeDocument/2006/relationships" name="Referral_Quests" sheetId="7" state="visible" r:id="rId7"/>
    <sheet xmlns:r="http://schemas.openxmlformats.org/officeDocument/2006/relationships" name="Mission_Engine" sheetId="8" state="visible" r:id="rId8"/>
    <sheet xmlns:r="http://schemas.openxmlformats.org/officeDocument/2006/relationships" name="Dashboard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color rgb="00666666"/>
    </font>
    <font>
      <color rgb="00666666"/>
    </font>
    <font>
      <b val="1"/>
      <color rgb="000000FF"/>
    </font>
    <font>
      <color rgb="00000000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  <fill>
      <patternFill patternType="solid">
        <fgColor rgb="00FFF2CC"/>
      </patternFill>
    </fill>
    <fill>
      <patternFill patternType="solid">
        <fgColor rgb="000F7C80"/>
      </patternFill>
    </fill>
    <fill>
      <patternFill patternType="solid">
        <fgColor rgb="00C55A11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1" fillId="3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wrapText="1"/>
    </xf>
    <xf numFmtId="0" fontId="4" fillId="0" borderId="2" pivotButton="0" quotePrefix="0" xfId="0"/>
    <xf numFmtId="3" fontId="5" fillId="4" borderId="2" applyAlignment="1" pivotButton="0" quotePrefix="0" xfId="0">
      <alignment horizontal="right"/>
    </xf>
    <xf numFmtId="0" fontId="1" fillId="5" borderId="0" applyAlignment="1" pivotButton="0" quotePrefix="0" xfId="0">
      <alignment horizontal="left" vertical="center"/>
    </xf>
    <xf numFmtId="2" fontId="0" fillId="0" borderId="0" pivotButton="0" quotePrefix="0" xfId="0"/>
    <xf numFmtId="2" fontId="5" fillId="4" borderId="2" applyAlignment="1" pivotButton="0" quotePrefix="0" xfId="0">
      <alignment horizontal="right"/>
    </xf>
    <xf numFmtId="2" fontId="6" fillId="0" borderId="2" pivotButton="0" quotePrefix="0" xfId="0"/>
    <xf numFmtId="0" fontId="7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8" fillId="0" borderId="2" applyAlignment="1" pivotButton="0" quotePrefix="0" xfId="0">
      <alignment horizontal="center" wrapText="1"/>
    </xf>
    <xf numFmtId="38" fontId="6" fillId="0" borderId="2" applyAlignment="1" pivotButton="0" quotePrefix="0" xfId="0">
      <alignment horizontal="center" wrapText="1"/>
    </xf>
    <xf numFmtId="2" fontId="6" fillId="0" borderId="2" applyAlignment="1" pivotButton="0" quotePrefix="0" xfId="0">
      <alignment horizontal="center" wrapText="1"/>
    </xf>
    <xf numFmtId="164" fontId="6" fillId="0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left" wrapText="1"/>
    </xf>
    <xf numFmtId="0" fontId="4" fillId="0" borderId="2" applyAlignment="1" pivotButton="0" quotePrefix="0" xfId="0">
      <alignment wrapText="1"/>
    </xf>
    <xf numFmtId="38" fontId="5" fillId="4" borderId="2" applyAlignment="1" pivotButton="0" quotePrefix="0" xfId="0">
      <alignment wrapText="1"/>
    </xf>
    <xf numFmtId="2" fontId="5" fillId="4" borderId="2" applyAlignment="1" pivotButton="0" quotePrefix="0" xfId="0">
      <alignment wrapText="1"/>
    </xf>
    <xf numFmtId="0" fontId="5" fillId="4" borderId="2" applyAlignment="1" pivotButton="0" quotePrefix="0" xfId="0">
      <alignment wrapText="1"/>
    </xf>
    <xf numFmtId="0" fontId="6" fillId="0" borderId="2" applyAlignment="1" pivotButton="0" quotePrefix="0" xfId="0">
      <alignment horizontal="center" wrapText="1"/>
    </xf>
    <xf numFmtId="0" fontId="6" fillId="0" borderId="2" applyAlignment="1" pivotButton="0" quotePrefix="0" xfId="0">
      <alignment horizontal="left" wrapText="1"/>
    </xf>
    <xf numFmtId="0" fontId="6" fillId="0" borderId="2" pivotButton="0" quotePrefix="0" xfId="0"/>
    <xf numFmtId="38" fontId="0" fillId="0" borderId="2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  <xf numFmtId="165" fontId="6" fillId="0" borderId="2" pivotButton="0" quotePrefix="0" xfId="0"/>
    <xf numFmtId="165" fontId="0" fillId="0" borderId="0" pivotButton="0" quotePrefix="0" xfId="0"/>
    <xf numFmtId="0" fontId="1" fillId="6" borderId="0" applyAlignment="1" pivotButton="0" quotePrefix="0" xfId="0">
      <alignment horizontal="left" vertical="center"/>
    </xf>
    <xf numFmtId="165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165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XP Curve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'Dashboard'!$A$14:$A$63</f>
            </numRef>
          </cat>
          <val>
            <numRef>
              <f>'Dashboard'!$B$14:$B$63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Level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Passive Cap per Hour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'Dashboard'!$A$14:$A$63</f>
            </numRef>
          </cat>
          <val>
            <numRef>
              <f>'Dashboard'!$C$14:$C$63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Level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ADN / Hr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Tier 1 Card Costs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'Dashboard'!$E$14:$E$33</f>
            </numRef>
          </cat>
          <val>
            <numRef>
              <f>'Dashboard'!$F$14:$F$33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Card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B4" authorId="0" shapeId="0">
      <text>
        <t>Original model input. Change to accelerate or slow the whole curve.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D4" authorId="0" shapeId="0">
      <text>
        <t>Base cost per card. Higher costs or growth rates make the economy slower.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19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36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8" customWidth="1" min="3" max="3"/>
    <col width="26" customWidth="1" min="4" max="4"/>
    <col width="16" customWidth="1" min="5" max="5"/>
    <col width="18" customWidth="1" min="6" max="6"/>
    <col width="18" customWidth="1" min="7" max="7"/>
  </cols>
  <sheetData>
    <row r="1" ht="20" customHeight="1">
      <c r="A1" s="1" t="inlineStr">
        <is>
          <t>ADN Tap-to-Earn Progression Model</t>
        </is>
      </c>
    </row>
    <row r="3">
      <c r="A3" s="2" t="inlineStr">
        <is>
          <t>Section</t>
        </is>
      </c>
      <c r="B3" s="2" t="inlineStr">
        <is>
          <t>Description</t>
        </is>
      </c>
    </row>
    <row r="4">
      <c r="A4" s="3" t="inlineStr">
        <is>
          <t>What this file is</t>
        </is>
      </c>
      <c r="B4" s="4" t="inlineStr">
        <is>
          <t>Original, genre-inspired balancing workbook for an ADN-themed tap-to-earn mining app. It is not a direct clone of any existing game.</t>
        </is>
      </c>
    </row>
    <row r="5">
      <c r="A5" s="3" t="inlineStr">
        <is>
          <t>Core loop</t>
        </is>
      </c>
      <c r="B5" s="4" t="inlineStr">
        <is>
          <t>Tap for active earnings, buy upgrades for hourly ADN production, progress through player levels, unlock systems, and push toward airdrop-weight milestones.</t>
        </is>
      </c>
    </row>
    <row r="6">
      <c r="A6" s="3" t="inlineStr">
        <is>
          <t>How to use</t>
        </is>
      </c>
      <c r="B6" s="4" t="inlineStr">
        <is>
          <t>1) Edit only blue cells on Controls or Upgrade_Params. 2) Review level pacing on Player_Levels. 3) Review card pricing and hourly gain on Upgrade_Tiers. 4) Use Dashboard for KPI sense-checks.</t>
        </is>
      </c>
    </row>
    <row r="7">
      <c r="A7" s="3" t="inlineStr">
        <is>
          <t>Design goals</t>
        </is>
      </c>
      <c r="B7" s="4" t="inlineStr">
        <is>
          <t>Fast early progression, meaningful midgame choice, slower but still rewarding late-game compounding, and anti-farm referral progression.</t>
        </is>
      </c>
    </row>
    <row r="8">
      <c r="A8" s="3" t="inlineStr">
        <is>
          <t>Economy note</t>
        </is>
      </c>
      <c r="B8" s="4" t="inlineStr">
        <is>
          <t>ADN in this workbook is treated as an in-game earn/spend unit. Real token, cash-out, or airdrop conversion should be gated behind compliance, fraud review, and snapshot logic.</t>
        </is>
      </c>
    </row>
    <row r="10" ht="20" customHeight="1">
      <c r="A10" s="5" t="inlineStr">
        <is>
          <t>Recommended Game Feel by Phase</t>
        </is>
      </c>
    </row>
    <row r="11">
      <c r="A11" s="6" t="inlineStr">
        <is>
          <t>Phase</t>
        </is>
      </c>
      <c r="B11" s="6" t="inlineStr">
        <is>
          <t>Player Levels</t>
        </is>
      </c>
      <c r="C11" s="6" t="inlineStr">
        <is>
          <t>Session Feel</t>
        </is>
      </c>
      <c r="D11" s="6" t="inlineStr">
        <is>
          <t>Main Unlock Focus</t>
        </is>
      </c>
      <c r="E11" s="6" t="inlineStr">
        <is>
          <t>Target Hourly ADN</t>
        </is>
      </c>
      <c r="F11" s="6" t="inlineStr">
        <is>
          <t>Primary Sink</t>
        </is>
      </c>
      <c r="G11" s="6" t="inlineStr">
        <is>
          <t>Primary Reward</t>
        </is>
      </c>
    </row>
    <row r="12">
      <c r="A12" s="7" t="inlineStr">
        <is>
          <t>Starter</t>
        </is>
      </c>
      <c r="B12" s="7" t="inlineStr">
        <is>
          <t>1-6</t>
        </is>
      </c>
      <c r="C12" s="7" t="inlineStr">
        <is>
          <t>Very fast taps, instant upgrades</t>
        </is>
      </c>
      <c r="D12" s="7" t="inlineStr">
        <is>
          <t>Core cards, daily bonus, streaks</t>
        </is>
      </c>
      <c r="E12" s="7" t="inlineStr">
        <is>
          <t>50-600</t>
        </is>
      </c>
      <c r="F12" s="7" t="inlineStr">
        <is>
          <t>Starter cards</t>
        </is>
      </c>
      <c r="G12" s="7" t="inlineStr">
        <is>
          <t>Hook + competence</t>
        </is>
      </c>
    </row>
    <row r="13">
      <c r="A13" s="7" t="inlineStr">
        <is>
          <t>Early Midgame</t>
        </is>
      </c>
      <c r="B13" s="7" t="inlineStr">
        <is>
          <t>7-15</t>
        </is>
      </c>
      <c r="C13" s="7" t="inlineStr">
        <is>
          <t>First real choices appear</t>
        </is>
      </c>
      <c r="D13" s="7" t="inlineStr">
        <is>
          <t>Referral chain, idle play, creator cards</t>
        </is>
      </c>
      <c r="E13" s="7" t="inlineStr">
        <is>
          <t>600-6,000</t>
        </is>
      </c>
      <c r="F13" s="7" t="inlineStr">
        <is>
          <t>Efficiency upgrades</t>
        </is>
      </c>
      <c r="G13" s="7" t="inlineStr">
        <is>
          <t>Agency + discovery</t>
        </is>
      </c>
    </row>
    <row r="14">
      <c r="A14" s="7" t="inlineStr">
        <is>
          <t>Midgame</t>
        </is>
      </c>
      <c r="B14" s="7" t="inlineStr">
        <is>
          <t>16-28</t>
        </is>
      </c>
      <c r="C14" s="7" t="inlineStr">
        <is>
          <t>Build identity around category bets</t>
        </is>
      </c>
      <c r="D14" s="7" t="inlineStr">
        <is>
          <t>Guilds, premium market, auto-tap</t>
        </is>
      </c>
      <c r="E14" s="7" t="inlineStr">
        <is>
          <t>6,000-65,000</t>
        </is>
      </c>
      <c r="F14" s="7" t="inlineStr">
        <is>
          <t>Compounding cards</t>
        </is>
      </c>
      <c r="G14" s="7" t="inlineStr">
        <is>
          <t>Strategic optimization</t>
        </is>
      </c>
    </row>
    <row r="15">
      <c r="A15" s="7" t="inlineStr">
        <is>
          <t>Late Midgame</t>
        </is>
      </c>
      <c r="B15" s="7" t="inlineStr">
        <is>
          <t>29-40</t>
        </is>
      </c>
      <c r="C15" s="7" t="inlineStr">
        <is>
          <t>Progress slower but meaningful</t>
        </is>
      </c>
      <c r="D15" s="7" t="inlineStr">
        <is>
          <t>Whale analytics, elite missions</t>
        </is>
      </c>
      <c r="E15" s="7" t="inlineStr">
        <is>
          <t>65,000-550,000</t>
        </is>
      </c>
      <c r="F15" s="7" t="inlineStr">
        <is>
          <t>High-tier finance/research</t>
        </is>
      </c>
      <c r="G15" s="7" t="inlineStr">
        <is>
          <t>Status + rarity</t>
        </is>
      </c>
    </row>
    <row r="16">
      <c r="A16" s="7" t="inlineStr">
        <is>
          <t>Endgame</t>
        </is>
      </c>
      <c r="B16" s="7" t="inlineStr">
        <is>
          <t>41-50</t>
        </is>
      </c>
      <c r="C16" s="7" t="inlineStr">
        <is>
          <t>Prestige and airdrop prep</t>
        </is>
      </c>
      <c r="D16" s="7" t="inlineStr">
        <is>
          <t>Claim readiness, long offline cap</t>
        </is>
      </c>
      <c r="E16" s="7" t="inlineStr">
        <is>
          <t>550,000-3,000,000</t>
        </is>
      </c>
      <c r="F16" s="7" t="inlineStr">
        <is>
          <t>Tier 12-15 cards</t>
        </is>
      </c>
      <c r="G16" s="7" t="inlineStr">
        <is>
          <t>Retention + collection</t>
        </is>
      </c>
    </row>
  </sheetData>
  <mergeCells count="2">
    <mergeCell ref="A10:H1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34" customWidth="1" min="3" max="3"/>
    <col width="24" customWidth="1" min="5" max="5"/>
    <col width="14" customWidth="1" min="6" max="6"/>
  </cols>
  <sheetData>
    <row r="1" ht="20" customHeight="1">
      <c r="A1" s="1" t="inlineStr">
        <is>
          <t>Balance Controls</t>
        </is>
      </c>
    </row>
    <row r="3">
      <c r="A3" s="6" t="inlineStr">
        <is>
          <t>Control</t>
        </is>
      </c>
      <c r="B3" s="6" t="inlineStr">
        <is>
          <t>Value</t>
        </is>
      </c>
      <c r="C3" s="6" t="inlineStr">
        <is>
          <t>Notes</t>
        </is>
      </c>
    </row>
    <row r="4" ht="20" customHeight="1">
      <c r="A4" s="8" t="inlineStr">
        <is>
          <t>Base XP to next level</t>
        </is>
      </c>
      <c r="B4" s="9" t="n">
        <v>120</v>
      </c>
      <c r="C4" s="8" t="inlineStr">
        <is>
          <t>Used in XP curve.</t>
        </is>
      </c>
      <c r="E4" s="10" t="inlineStr">
        <is>
          <t>Quick KPI Readout</t>
        </is>
      </c>
    </row>
    <row r="5">
      <c r="A5" s="8" t="inlineStr">
        <is>
          <t>XP exponent</t>
        </is>
      </c>
      <c r="B5" s="12" t="n">
        <v>1.43</v>
      </c>
      <c r="C5" s="8" t="inlineStr">
        <is>
          <t>Higher = steeper level curve.</t>
        </is>
      </c>
      <c r="E5" s="8" t="inlineStr">
        <is>
          <t>Level 10 XP to next</t>
        </is>
      </c>
      <c r="F5" s="13">
        <f>ROUND($B$4*(10^$B$5),0)</f>
        <v/>
      </c>
    </row>
    <row r="6">
      <c r="A6" s="8" t="inlineStr">
        <is>
          <t>Base tap reward</t>
        </is>
      </c>
      <c r="B6" s="9" t="n">
        <v>1</v>
      </c>
      <c r="C6" s="8" t="inlineStr">
        <is>
          <t>Starter active reward per tap.</t>
        </is>
      </c>
      <c r="E6" s="8" t="inlineStr">
        <is>
          <t>Level 25 tap reward</t>
        </is>
      </c>
      <c r="F6" s="13">
        <f>ROUND($B$6*(1+$B$7)^(25-1),2)</f>
        <v/>
      </c>
    </row>
    <row r="7">
      <c r="A7" s="8" t="inlineStr">
        <is>
          <t>Tap reward growth / level</t>
        </is>
      </c>
      <c r="B7" s="12" t="n">
        <v>0.04</v>
      </c>
      <c r="C7" s="8" t="inlineStr">
        <is>
          <t>4% per player level.</t>
        </is>
      </c>
      <c r="E7" s="8" t="inlineStr">
        <is>
          <t>Level 35 offline cap</t>
        </is>
      </c>
      <c r="F7" s="13">
        <f>MIN($B$15,$B$13+(35-1)*$B$14)</f>
        <v/>
      </c>
    </row>
    <row r="8">
      <c r="A8" s="8" t="inlineStr">
        <is>
          <t>Base max energy</t>
        </is>
      </c>
      <c r="B8" s="12" t="n">
        <v>500</v>
      </c>
      <c r="C8" s="8" t="inlineStr">
        <is>
          <t>Starter energy pool.</t>
        </is>
      </c>
      <c r="E8" s="8" t="inlineStr">
        <is>
          <t>Level 50 passive cap / hr</t>
        </is>
      </c>
      <c r="F8" s="13">
        <f>ROUND($B$16*(1+$B$17)^(50-1),0)</f>
        <v/>
      </c>
    </row>
    <row r="9">
      <c r="A9" s="8" t="inlineStr">
        <is>
          <t>Energy per player level</t>
        </is>
      </c>
      <c r="B9" s="12" t="n">
        <v>30</v>
      </c>
      <c r="C9" s="8" t="inlineStr">
        <is>
          <t>Flat increase each level.</t>
        </is>
      </c>
      <c r="F9" s="11" t="n"/>
    </row>
    <row r="10">
      <c r="A10" s="8" t="inlineStr">
        <is>
          <t>Base energy regen / min</t>
        </is>
      </c>
      <c r="B10" s="12" t="n">
        <v>8</v>
      </c>
      <c r="C10" s="8" t="inlineStr">
        <is>
          <t>Starter refill rate.</t>
        </is>
      </c>
      <c r="F10" s="11" t="n"/>
    </row>
    <row r="11">
      <c r="A11" s="8" t="inlineStr">
        <is>
          <t>Regen step levels</t>
        </is>
      </c>
      <c r="B11" s="12" t="n">
        <v>5</v>
      </c>
      <c r="C11" s="8" t="inlineStr">
        <is>
          <t>Increase regen every N levels.</t>
        </is>
      </c>
      <c r="F11" s="11" t="n"/>
    </row>
    <row r="12">
      <c r="A12" s="8" t="inlineStr">
        <is>
          <t>Regen increase / step</t>
        </is>
      </c>
      <c r="B12" s="12" t="n">
        <v>1</v>
      </c>
      <c r="C12" s="8" t="inlineStr">
        <is>
          <t>Flat regen increase.</t>
        </is>
      </c>
      <c r="F12" s="11" t="n"/>
    </row>
    <row r="13">
      <c r="A13" s="8" t="inlineStr">
        <is>
          <t>Base offline cap hours</t>
        </is>
      </c>
      <c r="B13" s="12" t="n">
        <v>3</v>
      </c>
      <c r="C13" s="8" t="inlineStr">
        <is>
          <t>Starter idle earning cap.</t>
        </is>
      </c>
      <c r="F13" s="11" t="n"/>
    </row>
    <row r="14">
      <c r="A14" s="8" t="inlineStr">
        <is>
          <t>Offline cap hours / level</t>
        </is>
      </c>
      <c r="B14" s="12" t="n">
        <v>0.25</v>
      </c>
      <c r="C14" s="8" t="inlineStr">
        <is>
          <t>Growth per level.</t>
        </is>
      </c>
      <c r="F14" s="11" t="n"/>
    </row>
    <row r="15">
      <c r="A15" s="8" t="inlineStr">
        <is>
          <t>Offline cap max hours</t>
        </is>
      </c>
      <c r="B15" s="12" t="n">
        <v>12</v>
      </c>
      <c r="C15" s="8" t="inlineStr">
        <is>
          <t>Hard cap to control inflation.</t>
        </is>
      </c>
      <c r="F15" s="11" t="n"/>
    </row>
    <row r="16">
      <c r="A16" s="8" t="inlineStr">
        <is>
          <t>Base passive cap / hour</t>
        </is>
      </c>
      <c r="B16" s="12" t="n">
        <v>250</v>
      </c>
      <c r="C16" s="8" t="inlineStr">
        <is>
          <t>Soft target for early passive economy.</t>
        </is>
      </c>
      <c r="F16" s="11" t="n"/>
    </row>
    <row r="17">
      <c r="A17" s="8" t="inlineStr">
        <is>
          <t>Passive cap growth / level</t>
        </is>
      </c>
      <c r="B17" s="12" t="n">
        <v>0.18</v>
      </c>
      <c r="C17" s="8" t="inlineStr">
        <is>
          <t>Compounded cap growth.</t>
        </is>
      </c>
      <c r="F17" s="11" t="n"/>
    </row>
    <row r="18">
      <c r="A18" s="8" t="inlineStr">
        <is>
          <t>Base airdrop weight / 1k earned</t>
        </is>
      </c>
      <c r="B18" s="12" t="n">
        <v>2</v>
      </c>
      <c r="C18" s="8" t="inlineStr">
        <is>
          <t>Optional snapshot weight proxy.</t>
        </is>
      </c>
      <c r="F18" s="11" t="n"/>
    </row>
    <row r="19">
      <c r="A19" s="8" t="inlineStr">
        <is>
          <t>Airdrop weight growth / level</t>
        </is>
      </c>
      <c r="B19" s="12" t="n">
        <v>0.015</v>
      </c>
      <c r="C19" s="8" t="inlineStr">
        <is>
          <t>Scales long-term grinders.</t>
        </is>
      </c>
      <c r="F19" s="11" t="n"/>
    </row>
    <row r="20">
      <c r="B20" s="11" t="n"/>
      <c r="F20" s="11" t="n"/>
    </row>
  </sheetData>
  <mergeCells count="2">
    <mergeCell ref="E4:F4"/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2" customWidth="1" min="3" max="3"/>
    <col width="24" customWidth="1" min="4" max="4"/>
    <col width="18" customWidth="1" min="5" max="5"/>
    <col width="22" customWidth="1" min="6" max="6"/>
    <col width="18" customWidth="1" min="7" max="7"/>
  </cols>
  <sheetData>
    <row r="1" ht="20" customHeight="1">
      <c r="A1" s="1" t="inlineStr">
        <is>
          <t>Feature Unlock Roadmap</t>
        </is>
      </c>
    </row>
    <row r="3">
      <c r="A3" s="2" t="inlineStr">
        <is>
          <t>Player Level</t>
        </is>
      </c>
      <c r="B3" s="2" t="inlineStr">
        <is>
          <t>Feature / System</t>
        </is>
      </c>
      <c r="C3" s="2" t="inlineStr">
        <is>
          <t>Purpose</t>
        </is>
      </c>
      <c r="D3" s="2" t="inlineStr">
        <is>
          <t>Why It Unlocks Here</t>
        </is>
      </c>
      <c r="E3" s="2" t="inlineStr">
        <is>
          <t>Reward Direction</t>
        </is>
      </c>
      <c r="F3" s="2" t="inlineStr">
        <is>
          <t>Abuse / Risk Notes</t>
        </is>
      </c>
      <c r="G3" s="2" t="inlineStr">
        <is>
          <t>Ops Notes</t>
        </is>
      </c>
    </row>
    <row r="4">
      <c r="A4" s="14" t="n">
        <v>1</v>
      </c>
      <c r="B4" s="15" t="inlineStr">
        <is>
          <t>Starter Tap + 4 starter cards</t>
        </is>
      </c>
      <c r="C4" s="15" t="inlineStr">
        <is>
          <t>Creates instant loop</t>
        </is>
      </c>
      <c r="D4" s="15" t="inlineStr">
        <is>
          <t>Immediate engagement</t>
        </is>
      </c>
      <c r="E4" s="15" t="inlineStr">
        <is>
          <t>Fast ADN flow</t>
        </is>
      </c>
      <c r="F4" s="15" t="inlineStr">
        <is>
          <t>No referral rewards yet</t>
        </is>
      </c>
      <c r="G4" s="15" t="inlineStr">
        <is>
          <t>Tutorial only</t>
        </is>
      </c>
    </row>
    <row r="5">
      <c r="A5" s="14" t="n">
        <v>2</v>
      </c>
      <c r="B5" s="15" t="inlineStr">
        <is>
          <t>Daily bonus</t>
        </is>
      </c>
      <c r="C5" s="15" t="inlineStr">
        <is>
          <t>First retention hook</t>
        </is>
      </c>
      <c r="D5" s="15" t="inlineStr">
        <is>
          <t>After first session understanding</t>
        </is>
      </c>
      <c r="E5" s="15" t="inlineStr">
        <is>
          <t>Flat daily ADN</t>
        </is>
      </c>
      <c r="F5" s="15" t="inlineStr">
        <is>
          <t>1 claim / 20h</t>
        </is>
      </c>
      <c r="G5" s="15" t="inlineStr">
        <is>
          <t>Reset at UTC or local midnight</t>
        </is>
      </c>
    </row>
    <row r="6">
      <c r="A6" s="14" t="n">
        <v>3</v>
      </c>
      <c r="B6" s="15" t="inlineStr">
        <is>
          <t>Referral Hub</t>
        </is>
      </c>
      <c r="C6" s="15" t="inlineStr">
        <is>
          <t>Introduce social growth</t>
        </is>
      </c>
      <c r="D6" s="15" t="inlineStr">
        <is>
          <t>User understands basic spend loop</t>
        </is>
      </c>
      <c r="E6" s="15" t="inlineStr">
        <is>
          <t>Invite bonus + ADN</t>
        </is>
      </c>
      <c r="F6" s="15" t="inlineStr">
        <is>
          <t>No self-referral</t>
        </is>
      </c>
      <c r="G6" s="15" t="inlineStr">
        <is>
          <t>Track device/IP</t>
        </is>
      </c>
    </row>
    <row r="7">
      <c r="A7" s="14" t="n">
        <v>5</v>
      </c>
      <c r="B7" s="15" t="inlineStr">
        <is>
          <t>Streak multiplier</t>
        </is>
      </c>
      <c r="C7" s="15" t="inlineStr">
        <is>
          <t>Second retention layer</t>
        </is>
      </c>
      <c r="D7" s="15" t="inlineStr">
        <is>
          <t>Daily habit now matters</t>
        </is>
      </c>
      <c r="E7" s="15" t="inlineStr">
        <is>
          <t>+% daily reward</t>
        </is>
      </c>
      <c r="F7" s="15" t="inlineStr">
        <is>
          <t>Break protection limited</t>
        </is>
      </c>
      <c r="G7" s="15" t="inlineStr">
        <is>
          <t>Offer one rescue / week</t>
        </is>
      </c>
    </row>
    <row r="8">
      <c r="A8" s="14" t="n">
        <v>6</v>
      </c>
      <c r="B8" s="15" t="inlineStr">
        <is>
          <t>GPU / ASIC cards</t>
        </is>
      </c>
      <c r="C8" s="15" t="inlineStr">
        <is>
          <t>Passive compounding begins</t>
        </is>
      </c>
      <c r="D8" s="15" t="inlineStr">
        <is>
          <t>Enough ADN to branch choices</t>
        </is>
      </c>
      <c r="E8" s="15" t="inlineStr">
        <is>
          <t>Higher hourly ADN</t>
        </is>
      </c>
      <c r="F8" s="15" t="inlineStr">
        <is>
          <t>Cap idle claim</t>
        </is>
      </c>
      <c r="G8" s="15" t="inlineStr">
        <is>
          <t>Shift to passive build</t>
        </is>
      </c>
    </row>
    <row r="9">
      <c r="A9" s="14" t="n">
        <v>8</v>
      </c>
      <c r="B9" s="15" t="inlineStr">
        <is>
          <t>Referral Quest Chain</t>
        </is>
      </c>
      <c r="C9" s="15" t="inlineStr">
        <is>
          <t>Quality referrals over raw invites</t>
        </is>
      </c>
      <c r="D9" s="15" t="inlineStr">
        <is>
          <t>User ready for objective-based social</t>
        </is>
      </c>
      <c r="E9" s="15" t="inlineStr">
        <is>
          <t>ADN + airdrop weight</t>
        </is>
      </c>
      <c r="F9" s="15" t="inlineStr">
        <is>
          <t>Only active referrals count</t>
        </is>
      </c>
      <c r="G9" s="15" t="inlineStr">
        <is>
          <t>Quest engine online</t>
        </is>
      </c>
    </row>
    <row r="10">
      <c r="A10" s="14" t="n">
        <v>10</v>
      </c>
      <c r="B10" s="15" t="inlineStr">
        <is>
          <t>Creator Bounties</t>
        </is>
      </c>
      <c r="C10" s="15" t="inlineStr">
        <is>
          <t>UGC-style growth</t>
        </is>
      </c>
      <c r="D10" s="15" t="inlineStr">
        <is>
          <t>Players seek faster progression</t>
        </is>
      </c>
      <c r="E10" s="15" t="inlineStr">
        <is>
          <t>ADN + badge</t>
        </is>
      </c>
      <c r="F10" s="15" t="inlineStr">
        <is>
          <t>Manual moderation if needed</t>
        </is>
      </c>
      <c r="G10" s="15" t="inlineStr">
        <is>
          <t>Promo hooks</t>
        </is>
      </c>
    </row>
    <row r="11">
      <c r="A11" s="14" t="n">
        <v>12</v>
      </c>
      <c r="B11" s="15" t="inlineStr">
        <is>
          <t>Quantum Cooling / longer idle</t>
        </is>
      </c>
      <c r="C11" s="15" t="inlineStr">
        <is>
          <t>Idle comfort upgrade</t>
        </is>
      </c>
      <c r="D11" s="15" t="inlineStr">
        <is>
          <t>Midgame pacing needs breathing room</t>
        </is>
      </c>
      <c r="E11" s="15" t="inlineStr">
        <is>
          <t>More offline hours</t>
        </is>
      </c>
      <c r="F11" s="15" t="inlineStr">
        <is>
          <t>Keep max cap in place</t>
        </is>
      </c>
      <c r="G11" s="15" t="inlineStr">
        <is>
          <t>Good reactivation trigger</t>
        </is>
      </c>
    </row>
    <row r="12">
      <c r="A12" s="14" t="n">
        <v>15</v>
      </c>
      <c r="B12" s="15" t="inlineStr">
        <is>
          <t>Premium Market</t>
        </is>
      </c>
      <c r="C12" s="15" t="inlineStr">
        <is>
          <t>Higher-value spend sink</t>
        </is>
      </c>
      <c r="D12" s="15" t="inlineStr">
        <is>
          <t>Monetization gate after habit formed</t>
        </is>
      </c>
      <c r="E12" s="15" t="inlineStr">
        <is>
          <t>Access to advanced cards</t>
        </is>
      </c>
      <c r="F12" s="15" t="inlineStr">
        <is>
          <t>Offer responsibly</t>
        </is>
      </c>
      <c r="G12" s="15" t="inlineStr">
        <is>
          <t>Stars / premium hooks</t>
        </is>
      </c>
    </row>
    <row r="13">
      <c r="A13" s="14" t="n">
        <v>18</v>
      </c>
      <c r="B13" s="15" t="inlineStr">
        <is>
          <t>Guild Program</t>
        </is>
      </c>
      <c r="C13" s="15" t="inlineStr">
        <is>
          <t>Social retention</t>
        </is>
      </c>
      <c r="D13" s="15" t="inlineStr">
        <is>
          <t>Enough economy depth for co-op</t>
        </is>
      </c>
      <c r="E13" s="15" t="inlineStr">
        <is>
          <t>Guild quests</t>
        </is>
      </c>
      <c r="F13" s="15" t="inlineStr">
        <is>
          <t>Limit alt-account farming</t>
        </is>
      </c>
      <c r="G13" s="15" t="inlineStr">
        <is>
          <t>Seasonal races</t>
        </is>
      </c>
    </row>
    <row r="14">
      <c r="A14" s="14" t="n">
        <v>22</v>
      </c>
      <c r="B14" s="15" t="inlineStr">
        <is>
          <t>Auto-Tap Drones</t>
        </is>
      </c>
      <c r="C14" s="15" t="inlineStr">
        <is>
          <t>Convenience power spike</t>
        </is>
      </c>
      <c r="D14" s="15" t="inlineStr">
        <is>
          <t>Midgame friction starts rising</t>
        </is>
      </c>
      <c r="E14" s="15" t="inlineStr">
        <is>
          <t>More idle efficiency</t>
        </is>
      </c>
      <c r="F14" s="15" t="inlineStr">
        <is>
          <t>Rate limit outputs</t>
        </is>
      </c>
      <c r="G14" s="15" t="inlineStr">
        <is>
          <t>Server-side anti-cheat</t>
        </is>
      </c>
    </row>
    <row r="15">
      <c r="A15" s="14" t="n">
        <v>25</v>
      </c>
      <c r="B15" s="15" t="inlineStr">
        <is>
          <t>Seasonal Leaderboards</t>
        </is>
      </c>
      <c r="C15" s="15" t="inlineStr">
        <is>
          <t>Status loop</t>
        </is>
      </c>
      <c r="D15" s="15" t="inlineStr">
        <is>
          <t>Core audience now invested</t>
        </is>
      </c>
      <c r="E15" s="15" t="inlineStr">
        <is>
          <t>Cosmetic + weight rewards</t>
        </is>
      </c>
      <c r="F15" s="15" t="inlineStr">
        <is>
          <t>Fraud filters mandatory</t>
        </is>
      </c>
      <c r="G15" s="15" t="inlineStr">
        <is>
          <t>Manual fraud review</t>
        </is>
      </c>
    </row>
    <row r="16">
      <c r="A16" s="14" t="n">
        <v>28</v>
      </c>
      <c r="B16" s="15" t="inlineStr">
        <is>
          <t>Smart Missions</t>
        </is>
      </c>
      <c r="C16" s="15" t="inlineStr">
        <is>
          <t>Personalized questing</t>
        </is>
      </c>
      <c r="D16" s="15" t="inlineStr">
        <is>
          <t>Player base now segmented</t>
        </is>
      </c>
      <c r="E16" s="15" t="inlineStr">
        <is>
          <t>Targeted ADN</t>
        </is>
      </c>
      <c r="F16" s="15" t="inlineStr">
        <is>
          <t>Avoid spam tasking</t>
        </is>
      </c>
      <c r="G16" s="15" t="inlineStr">
        <is>
          <t>AI task engine can start here</t>
        </is>
      </c>
    </row>
    <row r="17">
      <c r="A17" s="14" t="n">
        <v>30</v>
      </c>
      <c r="B17" s="15" t="inlineStr">
        <is>
          <t>Whale Analytics</t>
        </is>
      </c>
      <c r="C17" s="15" t="inlineStr">
        <is>
          <t>Late-game monetization lever</t>
        </is>
      </c>
      <c r="D17" s="15" t="inlineStr">
        <is>
          <t>Only relevant to advanced users</t>
        </is>
      </c>
      <c r="E17" s="15" t="inlineStr">
        <is>
          <t>High-tier passive ADN</t>
        </is>
      </c>
      <c r="F17" s="15" t="inlineStr">
        <is>
          <t>No pay-to-win hard lock</t>
        </is>
      </c>
      <c r="G17" s="15" t="inlineStr">
        <is>
          <t>Use as premium sink</t>
        </is>
      </c>
    </row>
    <row r="18">
      <c r="A18" s="14" t="n">
        <v>35</v>
      </c>
      <c r="B18" s="15" t="inlineStr">
        <is>
          <t>Airdrop Claim Eligibility</t>
        </is>
      </c>
      <c r="C18" s="15" t="inlineStr">
        <is>
          <t>Long-term aspiration</t>
        </is>
      </c>
      <c r="D18" s="15" t="inlineStr">
        <is>
          <t>Enough proof of quality activity</t>
        </is>
      </c>
      <c r="E18" s="15" t="inlineStr">
        <is>
          <t>Claim window eligibility</t>
        </is>
      </c>
      <c r="F18" s="15" t="inlineStr">
        <is>
          <t>KYC / review if needed</t>
        </is>
      </c>
      <c r="G18" s="15" t="inlineStr">
        <is>
          <t>Snapshot-ready players</t>
        </is>
      </c>
    </row>
    <row r="19">
      <c r="A19" s="14" t="n">
        <v>40</v>
      </c>
      <c r="B19" s="15" t="inlineStr">
        <is>
          <t>Risk Review / Fast Lane Payouts</t>
        </is>
      </c>
      <c r="C19" s="15" t="inlineStr">
        <is>
          <t>Separate trusted users</t>
        </is>
      </c>
      <c r="D19" s="15" t="inlineStr">
        <is>
          <t>Need ops tooling for payouts</t>
        </is>
      </c>
      <c r="E19" s="15" t="inlineStr">
        <is>
          <t>Faster approvals</t>
        </is>
      </c>
      <c r="F19" s="15" t="inlineStr">
        <is>
          <t>Do not auto-approve risky users</t>
        </is>
      </c>
      <c r="G19" s="15" t="inlineStr">
        <is>
          <t>Ops thresholding</t>
        </is>
      </c>
    </row>
    <row r="20">
      <c r="A20" s="14" t="n">
        <v>45</v>
      </c>
      <c r="B20" s="15" t="inlineStr">
        <is>
          <t>Elite Exchange Cards</t>
        </is>
      </c>
      <c r="C20" s="15" t="inlineStr">
        <is>
          <t>Endgame prestige loop</t>
        </is>
      </c>
      <c r="D20" s="15" t="inlineStr">
        <is>
          <t>Creates post-claim retention</t>
        </is>
      </c>
      <c r="E20" s="15" t="inlineStr">
        <is>
          <t>Very high ADN/hr</t>
        </is>
      </c>
      <c r="F20" s="15" t="inlineStr">
        <is>
          <t>Inflation monitored</t>
        </is>
      </c>
      <c r="G20" s="15" t="inlineStr">
        <is>
          <t>Use limited drops</t>
        </is>
      </c>
    </row>
    <row r="21">
      <c r="A21" s="14" t="n">
        <v>50</v>
      </c>
      <c r="B21" s="15" t="inlineStr">
        <is>
          <t>Legend Tier + Prestige badge</t>
        </is>
      </c>
      <c r="C21" s="15" t="inlineStr">
        <is>
          <t>Long horizon target</t>
        </is>
      </c>
      <c r="D21" s="15" t="inlineStr">
        <is>
          <t>Retains top 1-5% grinders</t>
        </is>
      </c>
      <c r="E21" s="15" t="inlineStr">
        <is>
          <t>Cosmetic + weight bonus</t>
        </is>
      </c>
      <c r="F21" s="15" t="inlineStr">
        <is>
          <t>No infinite loop reset by default</t>
        </is>
      </c>
      <c r="G21" s="15" t="inlineStr">
        <is>
          <t>Season pass or prestige later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1" customWidth="1" min="4" max="4"/>
    <col width="12" customWidth="1" min="5" max="5"/>
    <col width="11" customWidth="1" min="6" max="6"/>
    <col width="12" customWidth="1" min="7" max="7"/>
    <col width="14" customWidth="1" min="8" max="8"/>
    <col width="16" customWidth="1" min="9" max="9"/>
    <col width="28" customWidth="1" min="10" max="10"/>
    <col width="18" customWidth="1" min="11" max="11"/>
  </cols>
  <sheetData>
    <row r="1" ht="20" customHeight="1">
      <c r="A1" s="1" t="inlineStr">
        <is>
          <t>Player Level Curve</t>
        </is>
      </c>
    </row>
    <row r="3">
      <c r="A3" s="2" t="inlineStr">
        <is>
          <t>Level</t>
        </is>
      </c>
      <c r="B3" s="2" t="inlineStr">
        <is>
          <t>XP to Next</t>
        </is>
      </c>
      <c r="C3" s="2" t="inlineStr">
        <is>
          <t>Cumulative XP</t>
        </is>
      </c>
      <c r="D3" s="2" t="inlineStr">
        <is>
          <t>Tap Reward</t>
        </is>
      </c>
      <c r="E3" s="2" t="inlineStr">
        <is>
          <t>Max Energy</t>
        </is>
      </c>
      <c r="F3" s="2" t="inlineStr">
        <is>
          <t>Regen / Min</t>
        </is>
      </c>
      <c r="G3" s="2" t="inlineStr">
        <is>
          <t>Offline Cap Hrs</t>
        </is>
      </c>
      <c r="H3" s="2" t="inlineStr">
        <is>
          <t>Passive Cap / Hr</t>
        </is>
      </c>
      <c r="I3" s="2" t="inlineStr">
        <is>
          <t>Airdrop Weight / 1k</t>
        </is>
      </c>
      <c r="J3" s="2" t="inlineStr">
        <is>
          <t>Milestone Unlock</t>
        </is>
      </c>
      <c r="K3" s="2" t="inlineStr">
        <is>
          <t>Retention Intent</t>
        </is>
      </c>
    </row>
    <row r="4">
      <c r="A4" s="16" t="n">
        <v>1</v>
      </c>
      <c r="B4" s="17">
        <f>ROUND(Controls!$B$4*(A4^Controls!$B$5),0)</f>
        <v/>
      </c>
      <c r="C4" s="17">
        <f>SUM($B$4:B4)</f>
        <v/>
      </c>
      <c r="D4" s="18">
        <f>ROUND(Controls!$B$6*(1+Controls!$B$7)^(A4-1),2)</f>
        <v/>
      </c>
      <c r="E4" s="17">
        <f>Controls!$B$8+Controls!$B$9*(A4-1)</f>
        <v/>
      </c>
      <c r="F4" s="17">
        <f>Controls!$B$10+INT((A4-1)/Controls!$B$11)*Controls!$B$12</f>
        <v/>
      </c>
      <c r="G4" s="19">
        <f>MIN(Controls!$B$15,Controls!$B$13+(A4-1)*Controls!$B$14)</f>
        <v/>
      </c>
      <c r="H4" s="17">
        <f>ROUND(Controls!$B$16*(1+Controls!$B$17)^(A4-1),0)</f>
        <v/>
      </c>
      <c r="I4" s="18">
        <f>ROUND(Controls!$B$18*(1+Controls!$B$19)^(A4-1),2)</f>
        <v/>
      </c>
      <c r="J4" s="20" t="inlineStr">
        <is>
          <t>Starter Tap + 4 starter cards</t>
        </is>
      </c>
      <c r="K4" s="20" t="inlineStr">
        <is>
          <t>Hook</t>
        </is>
      </c>
    </row>
    <row r="5">
      <c r="A5" s="16" t="n">
        <v>2</v>
      </c>
      <c r="B5" s="17">
        <f>ROUND(Controls!$B$4*(A5^Controls!$B$5),0)</f>
        <v/>
      </c>
      <c r="C5" s="17">
        <f>SUM($B$4:B5)</f>
        <v/>
      </c>
      <c r="D5" s="18">
        <f>ROUND(Controls!$B$6*(1+Controls!$B$7)^(A5-1),2)</f>
        <v/>
      </c>
      <c r="E5" s="17">
        <f>Controls!$B$8+Controls!$B$9*(A5-1)</f>
        <v/>
      </c>
      <c r="F5" s="17">
        <f>Controls!$B$10+INT((A5-1)/Controls!$B$11)*Controls!$B$12</f>
        <v/>
      </c>
      <c r="G5" s="19">
        <f>MIN(Controls!$B$15,Controls!$B$13+(A5-1)*Controls!$B$14)</f>
        <v/>
      </c>
      <c r="H5" s="17">
        <f>ROUND(Controls!$B$16*(1+Controls!$B$17)^(A5-1),0)</f>
        <v/>
      </c>
      <c r="I5" s="18">
        <f>ROUND(Controls!$B$18*(1+Controls!$B$19)^(A5-1),2)</f>
        <v/>
      </c>
      <c r="J5" s="20" t="inlineStr">
        <is>
          <t>Daily bonus</t>
        </is>
      </c>
      <c r="K5" s="20" t="inlineStr">
        <is>
          <t>Retention seed</t>
        </is>
      </c>
    </row>
    <row r="6">
      <c r="A6" s="16" t="n">
        <v>3</v>
      </c>
      <c r="B6" s="17">
        <f>ROUND(Controls!$B$4*(A6^Controls!$B$5),0)</f>
        <v/>
      </c>
      <c r="C6" s="17">
        <f>SUM($B$4:B6)</f>
        <v/>
      </c>
      <c r="D6" s="18">
        <f>ROUND(Controls!$B$6*(1+Controls!$B$7)^(A6-1),2)</f>
        <v/>
      </c>
      <c r="E6" s="17">
        <f>Controls!$B$8+Controls!$B$9*(A6-1)</f>
        <v/>
      </c>
      <c r="F6" s="17">
        <f>Controls!$B$10+INT((A6-1)/Controls!$B$11)*Controls!$B$12</f>
        <v/>
      </c>
      <c r="G6" s="19">
        <f>MIN(Controls!$B$15,Controls!$B$13+(A6-1)*Controls!$B$14)</f>
        <v/>
      </c>
      <c r="H6" s="17">
        <f>ROUND(Controls!$B$16*(1+Controls!$B$17)^(A6-1),0)</f>
        <v/>
      </c>
      <c r="I6" s="18">
        <f>ROUND(Controls!$B$18*(1+Controls!$B$19)^(A6-1),2)</f>
        <v/>
      </c>
      <c r="J6" s="20" t="inlineStr">
        <is>
          <t>Referral Hub</t>
        </is>
      </c>
      <c r="K6" s="20" t="inlineStr">
        <is>
          <t>Social intro</t>
        </is>
      </c>
    </row>
    <row r="7">
      <c r="A7" s="16" t="n">
        <v>4</v>
      </c>
      <c r="B7" s="17">
        <f>ROUND(Controls!$B$4*(A7^Controls!$B$5),0)</f>
        <v/>
      </c>
      <c r="C7" s="17">
        <f>SUM($B$4:B7)</f>
        <v/>
      </c>
      <c r="D7" s="18">
        <f>ROUND(Controls!$B$6*(1+Controls!$B$7)^(A7-1),2)</f>
        <v/>
      </c>
      <c r="E7" s="17">
        <f>Controls!$B$8+Controls!$B$9*(A7-1)</f>
        <v/>
      </c>
      <c r="F7" s="17">
        <f>Controls!$B$10+INT((A7-1)/Controls!$B$11)*Controls!$B$12</f>
        <v/>
      </c>
      <c r="G7" s="19">
        <f>MIN(Controls!$B$15,Controls!$B$13+(A7-1)*Controls!$B$14)</f>
        <v/>
      </c>
      <c r="H7" s="17">
        <f>ROUND(Controls!$B$16*(1+Controls!$B$17)^(A7-1),0)</f>
        <v/>
      </c>
      <c r="I7" s="18">
        <f>ROUND(Controls!$B$18*(1+Controls!$B$19)^(A7-1),2)</f>
        <v/>
      </c>
      <c r="J7" s="20" t="inlineStr"/>
      <c r="K7" s="20" t="inlineStr"/>
    </row>
    <row r="8">
      <c r="A8" s="16" t="n">
        <v>5</v>
      </c>
      <c r="B8" s="17">
        <f>ROUND(Controls!$B$4*(A8^Controls!$B$5),0)</f>
        <v/>
      </c>
      <c r="C8" s="17">
        <f>SUM($B$4:B8)</f>
        <v/>
      </c>
      <c r="D8" s="18">
        <f>ROUND(Controls!$B$6*(1+Controls!$B$7)^(A8-1),2)</f>
        <v/>
      </c>
      <c r="E8" s="17">
        <f>Controls!$B$8+Controls!$B$9*(A8-1)</f>
        <v/>
      </c>
      <c r="F8" s="17">
        <f>Controls!$B$10+INT((A8-1)/Controls!$B$11)*Controls!$B$12</f>
        <v/>
      </c>
      <c r="G8" s="19">
        <f>MIN(Controls!$B$15,Controls!$B$13+(A8-1)*Controls!$B$14)</f>
        <v/>
      </c>
      <c r="H8" s="17">
        <f>ROUND(Controls!$B$16*(1+Controls!$B$17)^(A8-1),0)</f>
        <v/>
      </c>
      <c r="I8" s="18">
        <f>ROUND(Controls!$B$18*(1+Controls!$B$19)^(A8-1),2)</f>
        <v/>
      </c>
      <c r="J8" s="20" t="inlineStr">
        <is>
          <t>Streak multiplier</t>
        </is>
      </c>
      <c r="K8" s="20" t="inlineStr">
        <is>
          <t>Habit loop</t>
        </is>
      </c>
    </row>
    <row r="9">
      <c r="A9" s="16" t="n">
        <v>6</v>
      </c>
      <c r="B9" s="17">
        <f>ROUND(Controls!$B$4*(A9^Controls!$B$5),0)</f>
        <v/>
      </c>
      <c r="C9" s="17">
        <f>SUM($B$4:B9)</f>
        <v/>
      </c>
      <c r="D9" s="18">
        <f>ROUND(Controls!$B$6*(1+Controls!$B$7)^(A9-1),2)</f>
        <v/>
      </c>
      <c r="E9" s="17">
        <f>Controls!$B$8+Controls!$B$9*(A9-1)</f>
        <v/>
      </c>
      <c r="F9" s="17">
        <f>Controls!$B$10+INT((A9-1)/Controls!$B$11)*Controls!$B$12</f>
        <v/>
      </c>
      <c r="G9" s="19">
        <f>MIN(Controls!$B$15,Controls!$B$13+(A9-1)*Controls!$B$14)</f>
        <v/>
      </c>
      <c r="H9" s="17">
        <f>ROUND(Controls!$B$16*(1+Controls!$B$17)^(A9-1),0)</f>
        <v/>
      </c>
      <c r="I9" s="18">
        <f>ROUND(Controls!$B$18*(1+Controls!$B$19)^(A9-1),2)</f>
        <v/>
      </c>
      <c r="J9" s="20" t="inlineStr">
        <is>
          <t>GPU / ASIC cards</t>
        </is>
      </c>
      <c r="K9" s="20" t="inlineStr"/>
    </row>
    <row r="10">
      <c r="A10" s="16" t="n">
        <v>7</v>
      </c>
      <c r="B10" s="17">
        <f>ROUND(Controls!$B$4*(A10^Controls!$B$5),0)</f>
        <v/>
      </c>
      <c r="C10" s="17">
        <f>SUM($B$4:B10)</f>
        <v/>
      </c>
      <c r="D10" s="18">
        <f>ROUND(Controls!$B$6*(1+Controls!$B$7)^(A10-1),2)</f>
        <v/>
      </c>
      <c r="E10" s="17">
        <f>Controls!$B$8+Controls!$B$9*(A10-1)</f>
        <v/>
      </c>
      <c r="F10" s="17">
        <f>Controls!$B$10+INT((A10-1)/Controls!$B$11)*Controls!$B$12</f>
        <v/>
      </c>
      <c r="G10" s="19">
        <f>MIN(Controls!$B$15,Controls!$B$13+(A10-1)*Controls!$B$14)</f>
        <v/>
      </c>
      <c r="H10" s="17">
        <f>ROUND(Controls!$B$16*(1+Controls!$B$17)^(A10-1),0)</f>
        <v/>
      </c>
      <c r="I10" s="18">
        <f>ROUND(Controls!$B$18*(1+Controls!$B$19)^(A10-1),2)</f>
        <v/>
      </c>
      <c r="J10" s="20" t="inlineStr"/>
      <c r="K10" s="20" t="inlineStr"/>
    </row>
    <row r="11">
      <c r="A11" s="16" t="n">
        <v>8</v>
      </c>
      <c r="B11" s="17">
        <f>ROUND(Controls!$B$4*(A11^Controls!$B$5),0)</f>
        <v/>
      </c>
      <c r="C11" s="17">
        <f>SUM($B$4:B11)</f>
        <v/>
      </c>
      <c r="D11" s="18">
        <f>ROUND(Controls!$B$6*(1+Controls!$B$7)^(A11-1),2)</f>
        <v/>
      </c>
      <c r="E11" s="17">
        <f>Controls!$B$8+Controls!$B$9*(A11-1)</f>
        <v/>
      </c>
      <c r="F11" s="17">
        <f>Controls!$B$10+INT((A11-1)/Controls!$B$11)*Controls!$B$12</f>
        <v/>
      </c>
      <c r="G11" s="19">
        <f>MIN(Controls!$B$15,Controls!$B$13+(A11-1)*Controls!$B$14)</f>
        <v/>
      </c>
      <c r="H11" s="17">
        <f>ROUND(Controls!$B$16*(1+Controls!$B$17)^(A11-1),0)</f>
        <v/>
      </c>
      <c r="I11" s="18">
        <f>ROUND(Controls!$B$18*(1+Controls!$B$19)^(A11-1),2)</f>
        <v/>
      </c>
      <c r="J11" s="20" t="inlineStr">
        <is>
          <t>Referral Quest Chain</t>
        </is>
      </c>
      <c r="K11" s="20" t="inlineStr">
        <is>
          <t>Quality referrals</t>
        </is>
      </c>
    </row>
    <row r="12">
      <c r="A12" s="16" t="n">
        <v>9</v>
      </c>
      <c r="B12" s="17">
        <f>ROUND(Controls!$B$4*(A12^Controls!$B$5),0)</f>
        <v/>
      </c>
      <c r="C12" s="17">
        <f>SUM($B$4:B12)</f>
        <v/>
      </c>
      <c r="D12" s="18">
        <f>ROUND(Controls!$B$6*(1+Controls!$B$7)^(A12-1),2)</f>
        <v/>
      </c>
      <c r="E12" s="17">
        <f>Controls!$B$8+Controls!$B$9*(A12-1)</f>
        <v/>
      </c>
      <c r="F12" s="17">
        <f>Controls!$B$10+INT((A12-1)/Controls!$B$11)*Controls!$B$12</f>
        <v/>
      </c>
      <c r="G12" s="19">
        <f>MIN(Controls!$B$15,Controls!$B$13+(A12-1)*Controls!$B$14)</f>
        <v/>
      </c>
      <c r="H12" s="17">
        <f>ROUND(Controls!$B$16*(1+Controls!$B$17)^(A12-1),0)</f>
        <v/>
      </c>
      <c r="I12" s="18">
        <f>ROUND(Controls!$B$18*(1+Controls!$B$19)^(A12-1),2)</f>
        <v/>
      </c>
      <c r="J12" s="20" t="inlineStr"/>
      <c r="K12" s="20" t="inlineStr"/>
    </row>
    <row r="13">
      <c r="A13" s="16" t="n">
        <v>10</v>
      </c>
      <c r="B13" s="17">
        <f>ROUND(Controls!$B$4*(A13^Controls!$B$5),0)</f>
        <v/>
      </c>
      <c r="C13" s="17">
        <f>SUM($B$4:B13)</f>
        <v/>
      </c>
      <c r="D13" s="18">
        <f>ROUND(Controls!$B$6*(1+Controls!$B$7)^(A13-1),2)</f>
        <v/>
      </c>
      <c r="E13" s="17">
        <f>Controls!$B$8+Controls!$B$9*(A13-1)</f>
        <v/>
      </c>
      <c r="F13" s="17">
        <f>Controls!$B$10+INT((A13-1)/Controls!$B$11)*Controls!$B$12</f>
        <v/>
      </c>
      <c r="G13" s="19">
        <f>MIN(Controls!$B$15,Controls!$B$13+(A13-1)*Controls!$B$14)</f>
        <v/>
      </c>
      <c r="H13" s="17">
        <f>ROUND(Controls!$B$16*(1+Controls!$B$17)^(A13-1),0)</f>
        <v/>
      </c>
      <c r="I13" s="18">
        <f>ROUND(Controls!$B$18*(1+Controls!$B$19)^(A13-1),2)</f>
        <v/>
      </c>
      <c r="J13" s="20" t="inlineStr">
        <is>
          <t>Creator Bounties</t>
        </is>
      </c>
      <c r="K13" s="20" t="inlineStr"/>
    </row>
    <row r="14">
      <c r="A14" s="16" t="n">
        <v>11</v>
      </c>
      <c r="B14" s="17">
        <f>ROUND(Controls!$B$4*(A14^Controls!$B$5),0)</f>
        <v/>
      </c>
      <c r="C14" s="17">
        <f>SUM($B$4:B14)</f>
        <v/>
      </c>
      <c r="D14" s="18">
        <f>ROUND(Controls!$B$6*(1+Controls!$B$7)^(A14-1),2)</f>
        <v/>
      </c>
      <c r="E14" s="17">
        <f>Controls!$B$8+Controls!$B$9*(A14-1)</f>
        <v/>
      </c>
      <c r="F14" s="17">
        <f>Controls!$B$10+INT((A14-1)/Controls!$B$11)*Controls!$B$12</f>
        <v/>
      </c>
      <c r="G14" s="19">
        <f>MIN(Controls!$B$15,Controls!$B$13+(A14-1)*Controls!$B$14)</f>
        <v/>
      </c>
      <c r="H14" s="17">
        <f>ROUND(Controls!$B$16*(1+Controls!$B$17)^(A14-1),0)</f>
        <v/>
      </c>
      <c r="I14" s="18">
        <f>ROUND(Controls!$B$18*(1+Controls!$B$19)^(A14-1),2)</f>
        <v/>
      </c>
      <c r="J14" s="20" t="inlineStr"/>
      <c r="K14" s="20" t="inlineStr"/>
    </row>
    <row r="15">
      <c r="A15" s="16" t="n">
        <v>12</v>
      </c>
      <c r="B15" s="17">
        <f>ROUND(Controls!$B$4*(A15^Controls!$B$5),0)</f>
        <v/>
      </c>
      <c r="C15" s="17">
        <f>SUM($B$4:B15)</f>
        <v/>
      </c>
      <c r="D15" s="18">
        <f>ROUND(Controls!$B$6*(1+Controls!$B$7)^(A15-1),2)</f>
        <v/>
      </c>
      <c r="E15" s="17">
        <f>Controls!$B$8+Controls!$B$9*(A15-1)</f>
        <v/>
      </c>
      <c r="F15" s="17">
        <f>Controls!$B$10+INT((A15-1)/Controls!$B$11)*Controls!$B$12</f>
        <v/>
      </c>
      <c r="G15" s="19">
        <f>MIN(Controls!$B$15,Controls!$B$13+(A15-1)*Controls!$B$14)</f>
        <v/>
      </c>
      <c r="H15" s="17">
        <f>ROUND(Controls!$B$16*(1+Controls!$B$17)^(A15-1),0)</f>
        <v/>
      </c>
      <c r="I15" s="18">
        <f>ROUND(Controls!$B$18*(1+Controls!$B$19)^(A15-1),2)</f>
        <v/>
      </c>
      <c r="J15" s="20" t="inlineStr">
        <is>
          <t>Quantum Cooling / longer idle</t>
        </is>
      </c>
      <c r="K15" s="20" t="inlineStr">
        <is>
          <t>Comfort</t>
        </is>
      </c>
    </row>
    <row r="16">
      <c r="A16" s="16" t="n">
        <v>13</v>
      </c>
      <c r="B16" s="17">
        <f>ROUND(Controls!$B$4*(A16^Controls!$B$5),0)</f>
        <v/>
      </c>
      <c r="C16" s="17">
        <f>SUM($B$4:B16)</f>
        <v/>
      </c>
      <c r="D16" s="18">
        <f>ROUND(Controls!$B$6*(1+Controls!$B$7)^(A16-1),2)</f>
        <v/>
      </c>
      <c r="E16" s="17">
        <f>Controls!$B$8+Controls!$B$9*(A16-1)</f>
        <v/>
      </c>
      <c r="F16" s="17">
        <f>Controls!$B$10+INT((A16-1)/Controls!$B$11)*Controls!$B$12</f>
        <v/>
      </c>
      <c r="G16" s="19">
        <f>MIN(Controls!$B$15,Controls!$B$13+(A16-1)*Controls!$B$14)</f>
        <v/>
      </c>
      <c r="H16" s="17">
        <f>ROUND(Controls!$B$16*(1+Controls!$B$17)^(A16-1),0)</f>
        <v/>
      </c>
      <c r="I16" s="18">
        <f>ROUND(Controls!$B$18*(1+Controls!$B$19)^(A16-1),2)</f>
        <v/>
      </c>
      <c r="J16" s="20" t="inlineStr"/>
      <c r="K16" s="20" t="inlineStr"/>
    </row>
    <row r="17">
      <c r="A17" s="16" t="n">
        <v>14</v>
      </c>
      <c r="B17" s="17">
        <f>ROUND(Controls!$B$4*(A17^Controls!$B$5),0)</f>
        <v/>
      </c>
      <c r="C17" s="17">
        <f>SUM($B$4:B17)</f>
        <v/>
      </c>
      <c r="D17" s="18">
        <f>ROUND(Controls!$B$6*(1+Controls!$B$7)^(A17-1),2)</f>
        <v/>
      </c>
      <c r="E17" s="17">
        <f>Controls!$B$8+Controls!$B$9*(A17-1)</f>
        <v/>
      </c>
      <c r="F17" s="17">
        <f>Controls!$B$10+INT((A17-1)/Controls!$B$11)*Controls!$B$12</f>
        <v/>
      </c>
      <c r="G17" s="19">
        <f>MIN(Controls!$B$15,Controls!$B$13+(A17-1)*Controls!$B$14)</f>
        <v/>
      </c>
      <c r="H17" s="17">
        <f>ROUND(Controls!$B$16*(1+Controls!$B$17)^(A17-1),0)</f>
        <v/>
      </c>
      <c r="I17" s="18">
        <f>ROUND(Controls!$B$18*(1+Controls!$B$19)^(A17-1),2)</f>
        <v/>
      </c>
      <c r="J17" s="20" t="inlineStr"/>
      <c r="K17" s="20" t="inlineStr"/>
    </row>
    <row r="18">
      <c r="A18" s="16" t="n">
        <v>15</v>
      </c>
      <c r="B18" s="17">
        <f>ROUND(Controls!$B$4*(A18^Controls!$B$5),0)</f>
        <v/>
      </c>
      <c r="C18" s="17">
        <f>SUM($B$4:B18)</f>
        <v/>
      </c>
      <c r="D18" s="18">
        <f>ROUND(Controls!$B$6*(1+Controls!$B$7)^(A18-1),2)</f>
        <v/>
      </c>
      <c r="E18" s="17">
        <f>Controls!$B$8+Controls!$B$9*(A18-1)</f>
        <v/>
      </c>
      <c r="F18" s="17">
        <f>Controls!$B$10+INT((A18-1)/Controls!$B$11)*Controls!$B$12</f>
        <v/>
      </c>
      <c r="G18" s="19">
        <f>MIN(Controls!$B$15,Controls!$B$13+(A18-1)*Controls!$B$14)</f>
        <v/>
      </c>
      <c r="H18" s="17">
        <f>ROUND(Controls!$B$16*(1+Controls!$B$17)^(A18-1),0)</f>
        <v/>
      </c>
      <c r="I18" s="18">
        <f>ROUND(Controls!$B$18*(1+Controls!$B$19)^(A18-1),2)</f>
        <v/>
      </c>
      <c r="J18" s="20" t="inlineStr">
        <is>
          <t>Premium Market</t>
        </is>
      </c>
      <c r="K18" s="20" t="inlineStr">
        <is>
          <t>Monetization optional</t>
        </is>
      </c>
    </row>
    <row r="19">
      <c r="A19" s="16" t="n">
        <v>16</v>
      </c>
      <c r="B19" s="17">
        <f>ROUND(Controls!$B$4*(A19^Controls!$B$5),0)</f>
        <v/>
      </c>
      <c r="C19" s="17">
        <f>SUM($B$4:B19)</f>
        <v/>
      </c>
      <c r="D19" s="18">
        <f>ROUND(Controls!$B$6*(1+Controls!$B$7)^(A19-1),2)</f>
        <v/>
      </c>
      <c r="E19" s="17">
        <f>Controls!$B$8+Controls!$B$9*(A19-1)</f>
        <v/>
      </c>
      <c r="F19" s="17">
        <f>Controls!$B$10+INT((A19-1)/Controls!$B$11)*Controls!$B$12</f>
        <v/>
      </c>
      <c r="G19" s="19">
        <f>MIN(Controls!$B$15,Controls!$B$13+(A19-1)*Controls!$B$14)</f>
        <v/>
      </c>
      <c r="H19" s="17">
        <f>ROUND(Controls!$B$16*(1+Controls!$B$17)^(A19-1),0)</f>
        <v/>
      </c>
      <c r="I19" s="18">
        <f>ROUND(Controls!$B$18*(1+Controls!$B$19)^(A19-1),2)</f>
        <v/>
      </c>
      <c r="J19" s="20" t="inlineStr"/>
      <c r="K19" s="20" t="inlineStr"/>
    </row>
    <row r="20">
      <c r="A20" s="16" t="n">
        <v>17</v>
      </c>
      <c r="B20" s="17">
        <f>ROUND(Controls!$B$4*(A20^Controls!$B$5),0)</f>
        <v/>
      </c>
      <c r="C20" s="17">
        <f>SUM($B$4:B20)</f>
        <v/>
      </c>
      <c r="D20" s="18">
        <f>ROUND(Controls!$B$6*(1+Controls!$B$7)^(A20-1),2)</f>
        <v/>
      </c>
      <c r="E20" s="17">
        <f>Controls!$B$8+Controls!$B$9*(A20-1)</f>
        <v/>
      </c>
      <c r="F20" s="17">
        <f>Controls!$B$10+INT((A20-1)/Controls!$B$11)*Controls!$B$12</f>
        <v/>
      </c>
      <c r="G20" s="19">
        <f>MIN(Controls!$B$15,Controls!$B$13+(A20-1)*Controls!$B$14)</f>
        <v/>
      </c>
      <c r="H20" s="17">
        <f>ROUND(Controls!$B$16*(1+Controls!$B$17)^(A20-1),0)</f>
        <v/>
      </c>
      <c r="I20" s="18">
        <f>ROUND(Controls!$B$18*(1+Controls!$B$19)^(A20-1),2)</f>
        <v/>
      </c>
      <c r="J20" s="20" t="inlineStr"/>
      <c r="K20" s="20" t="inlineStr"/>
    </row>
    <row r="21">
      <c r="A21" s="16" t="n">
        <v>18</v>
      </c>
      <c r="B21" s="17">
        <f>ROUND(Controls!$B$4*(A21^Controls!$B$5),0)</f>
        <v/>
      </c>
      <c r="C21" s="17">
        <f>SUM($B$4:B21)</f>
        <v/>
      </c>
      <c r="D21" s="18">
        <f>ROUND(Controls!$B$6*(1+Controls!$B$7)^(A21-1),2)</f>
        <v/>
      </c>
      <c r="E21" s="17">
        <f>Controls!$B$8+Controls!$B$9*(A21-1)</f>
        <v/>
      </c>
      <c r="F21" s="17">
        <f>Controls!$B$10+INT((A21-1)/Controls!$B$11)*Controls!$B$12</f>
        <v/>
      </c>
      <c r="G21" s="19">
        <f>MIN(Controls!$B$15,Controls!$B$13+(A21-1)*Controls!$B$14)</f>
        <v/>
      </c>
      <c r="H21" s="17">
        <f>ROUND(Controls!$B$16*(1+Controls!$B$17)^(A21-1),0)</f>
        <v/>
      </c>
      <c r="I21" s="18">
        <f>ROUND(Controls!$B$18*(1+Controls!$B$19)^(A21-1),2)</f>
        <v/>
      </c>
      <c r="J21" s="20" t="inlineStr">
        <is>
          <t>Guild Program</t>
        </is>
      </c>
      <c r="K21" s="20" t="inlineStr">
        <is>
          <t>Social depth</t>
        </is>
      </c>
    </row>
    <row r="22">
      <c r="A22" s="16" t="n">
        <v>19</v>
      </c>
      <c r="B22" s="17">
        <f>ROUND(Controls!$B$4*(A22^Controls!$B$5),0)</f>
        <v/>
      </c>
      <c r="C22" s="17">
        <f>SUM($B$4:B22)</f>
        <v/>
      </c>
      <c r="D22" s="18">
        <f>ROUND(Controls!$B$6*(1+Controls!$B$7)^(A22-1),2)</f>
        <v/>
      </c>
      <c r="E22" s="17">
        <f>Controls!$B$8+Controls!$B$9*(A22-1)</f>
        <v/>
      </c>
      <c r="F22" s="17">
        <f>Controls!$B$10+INT((A22-1)/Controls!$B$11)*Controls!$B$12</f>
        <v/>
      </c>
      <c r="G22" s="19">
        <f>MIN(Controls!$B$15,Controls!$B$13+(A22-1)*Controls!$B$14)</f>
        <v/>
      </c>
      <c r="H22" s="17">
        <f>ROUND(Controls!$B$16*(1+Controls!$B$17)^(A22-1),0)</f>
        <v/>
      </c>
      <c r="I22" s="18">
        <f>ROUND(Controls!$B$18*(1+Controls!$B$19)^(A22-1),2)</f>
        <v/>
      </c>
      <c r="J22" s="20" t="inlineStr"/>
      <c r="K22" s="20" t="inlineStr"/>
    </row>
    <row r="23">
      <c r="A23" s="16" t="n">
        <v>20</v>
      </c>
      <c r="B23" s="17">
        <f>ROUND(Controls!$B$4*(A23^Controls!$B$5),0)</f>
        <v/>
      </c>
      <c r="C23" s="17">
        <f>SUM($B$4:B23)</f>
        <v/>
      </c>
      <c r="D23" s="18">
        <f>ROUND(Controls!$B$6*(1+Controls!$B$7)^(A23-1),2)</f>
        <v/>
      </c>
      <c r="E23" s="17">
        <f>Controls!$B$8+Controls!$B$9*(A23-1)</f>
        <v/>
      </c>
      <c r="F23" s="17">
        <f>Controls!$B$10+INT((A23-1)/Controls!$B$11)*Controls!$B$12</f>
        <v/>
      </c>
      <c r="G23" s="19">
        <f>MIN(Controls!$B$15,Controls!$B$13+(A23-1)*Controls!$B$14)</f>
        <v/>
      </c>
      <c r="H23" s="17">
        <f>ROUND(Controls!$B$16*(1+Controls!$B$17)^(A23-1),0)</f>
        <v/>
      </c>
      <c r="I23" s="18">
        <f>ROUND(Controls!$B$18*(1+Controls!$B$19)^(A23-1),2)</f>
        <v/>
      </c>
      <c r="J23" s="20" t="inlineStr"/>
      <c r="K23" s="20" t="inlineStr"/>
    </row>
    <row r="24">
      <c r="A24" s="16" t="n">
        <v>21</v>
      </c>
      <c r="B24" s="17">
        <f>ROUND(Controls!$B$4*(A24^Controls!$B$5),0)</f>
        <v/>
      </c>
      <c r="C24" s="17">
        <f>SUM($B$4:B24)</f>
        <v/>
      </c>
      <c r="D24" s="18">
        <f>ROUND(Controls!$B$6*(1+Controls!$B$7)^(A24-1),2)</f>
        <v/>
      </c>
      <c r="E24" s="17">
        <f>Controls!$B$8+Controls!$B$9*(A24-1)</f>
        <v/>
      </c>
      <c r="F24" s="17">
        <f>Controls!$B$10+INT((A24-1)/Controls!$B$11)*Controls!$B$12</f>
        <v/>
      </c>
      <c r="G24" s="19">
        <f>MIN(Controls!$B$15,Controls!$B$13+(A24-1)*Controls!$B$14)</f>
        <v/>
      </c>
      <c r="H24" s="17">
        <f>ROUND(Controls!$B$16*(1+Controls!$B$17)^(A24-1),0)</f>
        <v/>
      </c>
      <c r="I24" s="18">
        <f>ROUND(Controls!$B$18*(1+Controls!$B$19)^(A24-1),2)</f>
        <v/>
      </c>
      <c r="J24" s="20" t="inlineStr"/>
      <c r="K24" s="20" t="inlineStr"/>
    </row>
    <row r="25">
      <c r="A25" s="16" t="n">
        <v>22</v>
      </c>
      <c r="B25" s="17">
        <f>ROUND(Controls!$B$4*(A25^Controls!$B$5),0)</f>
        <v/>
      </c>
      <c r="C25" s="17">
        <f>SUM($B$4:B25)</f>
        <v/>
      </c>
      <c r="D25" s="18">
        <f>ROUND(Controls!$B$6*(1+Controls!$B$7)^(A25-1),2)</f>
        <v/>
      </c>
      <c r="E25" s="17">
        <f>Controls!$B$8+Controls!$B$9*(A25-1)</f>
        <v/>
      </c>
      <c r="F25" s="17">
        <f>Controls!$B$10+INT((A25-1)/Controls!$B$11)*Controls!$B$12</f>
        <v/>
      </c>
      <c r="G25" s="19">
        <f>MIN(Controls!$B$15,Controls!$B$13+(A25-1)*Controls!$B$14)</f>
        <v/>
      </c>
      <c r="H25" s="17">
        <f>ROUND(Controls!$B$16*(1+Controls!$B$17)^(A25-1),0)</f>
        <v/>
      </c>
      <c r="I25" s="18">
        <f>ROUND(Controls!$B$18*(1+Controls!$B$19)^(A25-1),2)</f>
        <v/>
      </c>
      <c r="J25" s="20" t="inlineStr">
        <is>
          <t>Auto-Tap Drones</t>
        </is>
      </c>
      <c r="K25" s="20" t="inlineStr">
        <is>
          <t>Convenience</t>
        </is>
      </c>
    </row>
    <row r="26">
      <c r="A26" s="16" t="n">
        <v>23</v>
      </c>
      <c r="B26" s="17">
        <f>ROUND(Controls!$B$4*(A26^Controls!$B$5),0)</f>
        <v/>
      </c>
      <c r="C26" s="17">
        <f>SUM($B$4:B26)</f>
        <v/>
      </c>
      <c r="D26" s="18">
        <f>ROUND(Controls!$B$6*(1+Controls!$B$7)^(A26-1),2)</f>
        <v/>
      </c>
      <c r="E26" s="17">
        <f>Controls!$B$8+Controls!$B$9*(A26-1)</f>
        <v/>
      </c>
      <c r="F26" s="17">
        <f>Controls!$B$10+INT((A26-1)/Controls!$B$11)*Controls!$B$12</f>
        <v/>
      </c>
      <c r="G26" s="19">
        <f>MIN(Controls!$B$15,Controls!$B$13+(A26-1)*Controls!$B$14)</f>
        <v/>
      </c>
      <c r="H26" s="17">
        <f>ROUND(Controls!$B$16*(1+Controls!$B$17)^(A26-1),0)</f>
        <v/>
      </c>
      <c r="I26" s="18">
        <f>ROUND(Controls!$B$18*(1+Controls!$B$19)^(A26-1),2)</f>
        <v/>
      </c>
      <c r="J26" s="20" t="inlineStr"/>
      <c r="K26" s="20" t="inlineStr"/>
    </row>
    <row r="27">
      <c r="A27" s="16" t="n">
        <v>24</v>
      </c>
      <c r="B27" s="17">
        <f>ROUND(Controls!$B$4*(A27^Controls!$B$5),0)</f>
        <v/>
      </c>
      <c r="C27" s="17">
        <f>SUM($B$4:B27)</f>
        <v/>
      </c>
      <c r="D27" s="18">
        <f>ROUND(Controls!$B$6*(1+Controls!$B$7)^(A27-1),2)</f>
        <v/>
      </c>
      <c r="E27" s="17">
        <f>Controls!$B$8+Controls!$B$9*(A27-1)</f>
        <v/>
      </c>
      <c r="F27" s="17">
        <f>Controls!$B$10+INT((A27-1)/Controls!$B$11)*Controls!$B$12</f>
        <v/>
      </c>
      <c r="G27" s="19">
        <f>MIN(Controls!$B$15,Controls!$B$13+(A27-1)*Controls!$B$14)</f>
        <v/>
      </c>
      <c r="H27" s="17">
        <f>ROUND(Controls!$B$16*(1+Controls!$B$17)^(A27-1),0)</f>
        <v/>
      </c>
      <c r="I27" s="18">
        <f>ROUND(Controls!$B$18*(1+Controls!$B$19)^(A27-1),2)</f>
        <v/>
      </c>
      <c r="J27" s="20" t="inlineStr"/>
      <c r="K27" s="20" t="inlineStr"/>
    </row>
    <row r="28">
      <c r="A28" s="16" t="n">
        <v>25</v>
      </c>
      <c r="B28" s="17">
        <f>ROUND(Controls!$B$4*(A28^Controls!$B$5),0)</f>
        <v/>
      </c>
      <c r="C28" s="17">
        <f>SUM($B$4:B28)</f>
        <v/>
      </c>
      <c r="D28" s="18">
        <f>ROUND(Controls!$B$6*(1+Controls!$B$7)^(A28-1),2)</f>
        <v/>
      </c>
      <c r="E28" s="17">
        <f>Controls!$B$8+Controls!$B$9*(A28-1)</f>
        <v/>
      </c>
      <c r="F28" s="17">
        <f>Controls!$B$10+INT((A28-1)/Controls!$B$11)*Controls!$B$12</f>
        <v/>
      </c>
      <c r="G28" s="19">
        <f>MIN(Controls!$B$15,Controls!$B$13+(A28-1)*Controls!$B$14)</f>
        <v/>
      </c>
      <c r="H28" s="17">
        <f>ROUND(Controls!$B$16*(1+Controls!$B$17)^(A28-1),0)</f>
        <v/>
      </c>
      <c r="I28" s="18">
        <f>ROUND(Controls!$B$18*(1+Controls!$B$19)^(A28-1),2)</f>
        <v/>
      </c>
      <c r="J28" s="20" t="inlineStr">
        <is>
          <t>Seasonal Leaderboards</t>
        </is>
      </c>
      <c r="K28" s="20" t="inlineStr">
        <is>
          <t>Status</t>
        </is>
      </c>
    </row>
    <row r="29">
      <c r="A29" s="16" t="n">
        <v>26</v>
      </c>
      <c r="B29" s="17">
        <f>ROUND(Controls!$B$4*(A29^Controls!$B$5),0)</f>
        <v/>
      </c>
      <c r="C29" s="17">
        <f>SUM($B$4:B29)</f>
        <v/>
      </c>
      <c r="D29" s="18">
        <f>ROUND(Controls!$B$6*(1+Controls!$B$7)^(A29-1),2)</f>
        <v/>
      </c>
      <c r="E29" s="17">
        <f>Controls!$B$8+Controls!$B$9*(A29-1)</f>
        <v/>
      </c>
      <c r="F29" s="17">
        <f>Controls!$B$10+INT((A29-1)/Controls!$B$11)*Controls!$B$12</f>
        <v/>
      </c>
      <c r="G29" s="19">
        <f>MIN(Controls!$B$15,Controls!$B$13+(A29-1)*Controls!$B$14)</f>
        <v/>
      </c>
      <c r="H29" s="17">
        <f>ROUND(Controls!$B$16*(1+Controls!$B$17)^(A29-1),0)</f>
        <v/>
      </c>
      <c r="I29" s="18">
        <f>ROUND(Controls!$B$18*(1+Controls!$B$19)^(A29-1),2)</f>
        <v/>
      </c>
      <c r="J29" s="20" t="inlineStr"/>
      <c r="K29" s="20" t="inlineStr"/>
    </row>
    <row r="30">
      <c r="A30" s="16" t="n">
        <v>27</v>
      </c>
      <c r="B30" s="17">
        <f>ROUND(Controls!$B$4*(A30^Controls!$B$5),0)</f>
        <v/>
      </c>
      <c r="C30" s="17">
        <f>SUM($B$4:B30)</f>
        <v/>
      </c>
      <c r="D30" s="18">
        <f>ROUND(Controls!$B$6*(1+Controls!$B$7)^(A30-1),2)</f>
        <v/>
      </c>
      <c r="E30" s="17">
        <f>Controls!$B$8+Controls!$B$9*(A30-1)</f>
        <v/>
      </c>
      <c r="F30" s="17">
        <f>Controls!$B$10+INT((A30-1)/Controls!$B$11)*Controls!$B$12</f>
        <v/>
      </c>
      <c r="G30" s="19">
        <f>MIN(Controls!$B$15,Controls!$B$13+(A30-1)*Controls!$B$14)</f>
        <v/>
      </c>
      <c r="H30" s="17">
        <f>ROUND(Controls!$B$16*(1+Controls!$B$17)^(A30-1),0)</f>
        <v/>
      </c>
      <c r="I30" s="18">
        <f>ROUND(Controls!$B$18*(1+Controls!$B$19)^(A30-1),2)</f>
        <v/>
      </c>
      <c r="J30" s="20" t="inlineStr"/>
      <c r="K30" s="20" t="inlineStr"/>
    </row>
    <row r="31">
      <c r="A31" s="16" t="n">
        <v>28</v>
      </c>
      <c r="B31" s="17">
        <f>ROUND(Controls!$B$4*(A31^Controls!$B$5),0)</f>
        <v/>
      </c>
      <c r="C31" s="17">
        <f>SUM($B$4:B31)</f>
        <v/>
      </c>
      <c r="D31" s="18">
        <f>ROUND(Controls!$B$6*(1+Controls!$B$7)^(A31-1),2)</f>
        <v/>
      </c>
      <c r="E31" s="17">
        <f>Controls!$B$8+Controls!$B$9*(A31-1)</f>
        <v/>
      </c>
      <c r="F31" s="17">
        <f>Controls!$B$10+INT((A31-1)/Controls!$B$11)*Controls!$B$12</f>
        <v/>
      </c>
      <c r="G31" s="19">
        <f>MIN(Controls!$B$15,Controls!$B$13+(A31-1)*Controls!$B$14)</f>
        <v/>
      </c>
      <c r="H31" s="17">
        <f>ROUND(Controls!$B$16*(1+Controls!$B$17)^(A31-1),0)</f>
        <v/>
      </c>
      <c r="I31" s="18">
        <f>ROUND(Controls!$B$18*(1+Controls!$B$19)^(A31-1),2)</f>
        <v/>
      </c>
      <c r="J31" s="20" t="inlineStr">
        <is>
          <t>Smart Missions</t>
        </is>
      </c>
      <c r="K31" s="20" t="inlineStr">
        <is>
          <t>Personalization</t>
        </is>
      </c>
    </row>
    <row r="32">
      <c r="A32" s="16" t="n">
        <v>29</v>
      </c>
      <c r="B32" s="17">
        <f>ROUND(Controls!$B$4*(A32^Controls!$B$5),0)</f>
        <v/>
      </c>
      <c r="C32" s="17">
        <f>SUM($B$4:B32)</f>
        <v/>
      </c>
      <c r="D32" s="18">
        <f>ROUND(Controls!$B$6*(1+Controls!$B$7)^(A32-1),2)</f>
        <v/>
      </c>
      <c r="E32" s="17">
        <f>Controls!$B$8+Controls!$B$9*(A32-1)</f>
        <v/>
      </c>
      <c r="F32" s="17">
        <f>Controls!$B$10+INT((A32-1)/Controls!$B$11)*Controls!$B$12</f>
        <v/>
      </c>
      <c r="G32" s="19">
        <f>MIN(Controls!$B$15,Controls!$B$13+(A32-1)*Controls!$B$14)</f>
        <v/>
      </c>
      <c r="H32" s="17">
        <f>ROUND(Controls!$B$16*(1+Controls!$B$17)^(A32-1),0)</f>
        <v/>
      </c>
      <c r="I32" s="18">
        <f>ROUND(Controls!$B$18*(1+Controls!$B$19)^(A32-1),2)</f>
        <v/>
      </c>
      <c r="J32" s="20" t="inlineStr"/>
      <c r="K32" s="20" t="inlineStr"/>
    </row>
    <row r="33">
      <c r="A33" s="16" t="n">
        <v>30</v>
      </c>
      <c r="B33" s="17">
        <f>ROUND(Controls!$B$4*(A33^Controls!$B$5),0)</f>
        <v/>
      </c>
      <c r="C33" s="17">
        <f>SUM($B$4:B33)</f>
        <v/>
      </c>
      <c r="D33" s="18">
        <f>ROUND(Controls!$B$6*(1+Controls!$B$7)^(A33-1),2)</f>
        <v/>
      </c>
      <c r="E33" s="17">
        <f>Controls!$B$8+Controls!$B$9*(A33-1)</f>
        <v/>
      </c>
      <c r="F33" s="17">
        <f>Controls!$B$10+INT((A33-1)/Controls!$B$11)*Controls!$B$12</f>
        <v/>
      </c>
      <c r="G33" s="19">
        <f>MIN(Controls!$B$15,Controls!$B$13+(A33-1)*Controls!$B$14)</f>
        <v/>
      </c>
      <c r="H33" s="17">
        <f>ROUND(Controls!$B$16*(1+Controls!$B$17)^(A33-1),0)</f>
        <v/>
      </c>
      <c r="I33" s="18">
        <f>ROUND(Controls!$B$18*(1+Controls!$B$19)^(A33-1),2)</f>
        <v/>
      </c>
      <c r="J33" s="20" t="inlineStr">
        <is>
          <t>Whale Analytics</t>
        </is>
      </c>
      <c r="K33" s="20" t="inlineStr">
        <is>
          <t>Advanced spender</t>
        </is>
      </c>
    </row>
    <row r="34">
      <c r="A34" s="16" t="n">
        <v>31</v>
      </c>
      <c r="B34" s="17">
        <f>ROUND(Controls!$B$4*(A34^Controls!$B$5),0)</f>
        <v/>
      </c>
      <c r="C34" s="17">
        <f>SUM($B$4:B34)</f>
        <v/>
      </c>
      <c r="D34" s="18">
        <f>ROUND(Controls!$B$6*(1+Controls!$B$7)^(A34-1),2)</f>
        <v/>
      </c>
      <c r="E34" s="17">
        <f>Controls!$B$8+Controls!$B$9*(A34-1)</f>
        <v/>
      </c>
      <c r="F34" s="17">
        <f>Controls!$B$10+INT((A34-1)/Controls!$B$11)*Controls!$B$12</f>
        <v/>
      </c>
      <c r="G34" s="19">
        <f>MIN(Controls!$B$15,Controls!$B$13+(A34-1)*Controls!$B$14)</f>
        <v/>
      </c>
      <c r="H34" s="17">
        <f>ROUND(Controls!$B$16*(1+Controls!$B$17)^(A34-1),0)</f>
        <v/>
      </c>
      <c r="I34" s="18">
        <f>ROUND(Controls!$B$18*(1+Controls!$B$19)^(A34-1),2)</f>
        <v/>
      </c>
      <c r="J34" s="20" t="inlineStr"/>
      <c r="K34" s="20" t="inlineStr"/>
    </row>
    <row r="35">
      <c r="A35" s="16" t="n">
        <v>32</v>
      </c>
      <c r="B35" s="17">
        <f>ROUND(Controls!$B$4*(A35^Controls!$B$5),0)</f>
        <v/>
      </c>
      <c r="C35" s="17">
        <f>SUM($B$4:B35)</f>
        <v/>
      </c>
      <c r="D35" s="18">
        <f>ROUND(Controls!$B$6*(1+Controls!$B$7)^(A35-1),2)</f>
        <v/>
      </c>
      <c r="E35" s="17">
        <f>Controls!$B$8+Controls!$B$9*(A35-1)</f>
        <v/>
      </c>
      <c r="F35" s="17">
        <f>Controls!$B$10+INT((A35-1)/Controls!$B$11)*Controls!$B$12</f>
        <v/>
      </c>
      <c r="G35" s="19">
        <f>MIN(Controls!$B$15,Controls!$B$13+(A35-1)*Controls!$B$14)</f>
        <v/>
      </c>
      <c r="H35" s="17">
        <f>ROUND(Controls!$B$16*(1+Controls!$B$17)^(A35-1),0)</f>
        <v/>
      </c>
      <c r="I35" s="18">
        <f>ROUND(Controls!$B$18*(1+Controls!$B$19)^(A35-1),2)</f>
        <v/>
      </c>
      <c r="J35" s="20" t="inlineStr"/>
      <c r="K35" s="20" t="inlineStr"/>
    </row>
    <row r="36">
      <c r="A36" s="16" t="n">
        <v>33</v>
      </c>
      <c r="B36" s="17">
        <f>ROUND(Controls!$B$4*(A36^Controls!$B$5),0)</f>
        <v/>
      </c>
      <c r="C36" s="17">
        <f>SUM($B$4:B36)</f>
        <v/>
      </c>
      <c r="D36" s="18">
        <f>ROUND(Controls!$B$6*(1+Controls!$B$7)^(A36-1),2)</f>
        <v/>
      </c>
      <c r="E36" s="17">
        <f>Controls!$B$8+Controls!$B$9*(A36-1)</f>
        <v/>
      </c>
      <c r="F36" s="17">
        <f>Controls!$B$10+INT((A36-1)/Controls!$B$11)*Controls!$B$12</f>
        <v/>
      </c>
      <c r="G36" s="19">
        <f>MIN(Controls!$B$15,Controls!$B$13+(A36-1)*Controls!$B$14)</f>
        <v/>
      </c>
      <c r="H36" s="17">
        <f>ROUND(Controls!$B$16*(1+Controls!$B$17)^(A36-1),0)</f>
        <v/>
      </c>
      <c r="I36" s="18">
        <f>ROUND(Controls!$B$18*(1+Controls!$B$19)^(A36-1),2)</f>
        <v/>
      </c>
      <c r="J36" s="20" t="inlineStr"/>
      <c r="K36" s="20" t="inlineStr"/>
    </row>
    <row r="37">
      <c r="A37" s="16" t="n">
        <v>34</v>
      </c>
      <c r="B37" s="17">
        <f>ROUND(Controls!$B$4*(A37^Controls!$B$5),0)</f>
        <v/>
      </c>
      <c r="C37" s="17">
        <f>SUM($B$4:B37)</f>
        <v/>
      </c>
      <c r="D37" s="18">
        <f>ROUND(Controls!$B$6*(1+Controls!$B$7)^(A37-1),2)</f>
        <v/>
      </c>
      <c r="E37" s="17">
        <f>Controls!$B$8+Controls!$B$9*(A37-1)</f>
        <v/>
      </c>
      <c r="F37" s="17">
        <f>Controls!$B$10+INT((A37-1)/Controls!$B$11)*Controls!$B$12</f>
        <v/>
      </c>
      <c r="G37" s="19">
        <f>MIN(Controls!$B$15,Controls!$B$13+(A37-1)*Controls!$B$14)</f>
        <v/>
      </c>
      <c r="H37" s="17">
        <f>ROUND(Controls!$B$16*(1+Controls!$B$17)^(A37-1),0)</f>
        <v/>
      </c>
      <c r="I37" s="18">
        <f>ROUND(Controls!$B$18*(1+Controls!$B$19)^(A37-1),2)</f>
        <v/>
      </c>
      <c r="J37" s="20" t="inlineStr"/>
      <c r="K37" s="20" t="inlineStr"/>
    </row>
    <row r="38">
      <c r="A38" s="16" t="n">
        <v>35</v>
      </c>
      <c r="B38" s="17">
        <f>ROUND(Controls!$B$4*(A38^Controls!$B$5),0)</f>
        <v/>
      </c>
      <c r="C38" s="17">
        <f>SUM($B$4:B38)</f>
        <v/>
      </c>
      <c r="D38" s="18">
        <f>ROUND(Controls!$B$6*(1+Controls!$B$7)^(A38-1),2)</f>
        <v/>
      </c>
      <c r="E38" s="17">
        <f>Controls!$B$8+Controls!$B$9*(A38-1)</f>
        <v/>
      </c>
      <c r="F38" s="17">
        <f>Controls!$B$10+INT((A38-1)/Controls!$B$11)*Controls!$B$12</f>
        <v/>
      </c>
      <c r="G38" s="19">
        <f>MIN(Controls!$B$15,Controls!$B$13+(A38-1)*Controls!$B$14)</f>
        <v/>
      </c>
      <c r="H38" s="17">
        <f>ROUND(Controls!$B$16*(1+Controls!$B$17)^(A38-1),0)</f>
        <v/>
      </c>
      <c r="I38" s="18">
        <f>ROUND(Controls!$B$18*(1+Controls!$B$19)^(A38-1),2)</f>
        <v/>
      </c>
      <c r="J38" s="20" t="inlineStr">
        <is>
          <t>Airdrop Claim Eligibility</t>
        </is>
      </c>
      <c r="K38" s="20" t="inlineStr">
        <is>
          <t>Airdrop target</t>
        </is>
      </c>
    </row>
    <row r="39">
      <c r="A39" s="16" t="n">
        <v>36</v>
      </c>
      <c r="B39" s="17">
        <f>ROUND(Controls!$B$4*(A39^Controls!$B$5),0)</f>
        <v/>
      </c>
      <c r="C39" s="17">
        <f>SUM($B$4:B39)</f>
        <v/>
      </c>
      <c r="D39" s="18">
        <f>ROUND(Controls!$B$6*(1+Controls!$B$7)^(A39-1),2)</f>
        <v/>
      </c>
      <c r="E39" s="17">
        <f>Controls!$B$8+Controls!$B$9*(A39-1)</f>
        <v/>
      </c>
      <c r="F39" s="17">
        <f>Controls!$B$10+INT((A39-1)/Controls!$B$11)*Controls!$B$12</f>
        <v/>
      </c>
      <c r="G39" s="19">
        <f>MIN(Controls!$B$15,Controls!$B$13+(A39-1)*Controls!$B$14)</f>
        <v/>
      </c>
      <c r="H39" s="17">
        <f>ROUND(Controls!$B$16*(1+Controls!$B$17)^(A39-1),0)</f>
        <v/>
      </c>
      <c r="I39" s="18">
        <f>ROUND(Controls!$B$18*(1+Controls!$B$19)^(A39-1),2)</f>
        <v/>
      </c>
      <c r="J39" s="20" t="inlineStr"/>
      <c r="K39" s="20" t="inlineStr"/>
    </row>
    <row r="40">
      <c r="A40" s="16" t="n">
        <v>37</v>
      </c>
      <c r="B40" s="17">
        <f>ROUND(Controls!$B$4*(A40^Controls!$B$5),0)</f>
        <v/>
      </c>
      <c r="C40" s="17">
        <f>SUM($B$4:B40)</f>
        <v/>
      </c>
      <c r="D40" s="18">
        <f>ROUND(Controls!$B$6*(1+Controls!$B$7)^(A40-1),2)</f>
        <v/>
      </c>
      <c r="E40" s="17">
        <f>Controls!$B$8+Controls!$B$9*(A40-1)</f>
        <v/>
      </c>
      <c r="F40" s="17">
        <f>Controls!$B$10+INT((A40-1)/Controls!$B$11)*Controls!$B$12</f>
        <v/>
      </c>
      <c r="G40" s="19">
        <f>MIN(Controls!$B$15,Controls!$B$13+(A40-1)*Controls!$B$14)</f>
        <v/>
      </c>
      <c r="H40" s="17">
        <f>ROUND(Controls!$B$16*(1+Controls!$B$17)^(A40-1),0)</f>
        <v/>
      </c>
      <c r="I40" s="18">
        <f>ROUND(Controls!$B$18*(1+Controls!$B$19)^(A40-1),2)</f>
        <v/>
      </c>
      <c r="J40" s="20" t="inlineStr"/>
      <c r="K40" s="20" t="inlineStr"/>
    </row>
    <row r="41">
      <c r="A41" s="16" t="n">
        <v>38</v>
      </c>
      <c r="B41" s="17">
        <f>ROUND(Controls!$B$4*(A41^Controls!$B$5),0)</f>
        <v/>
      </c>
      <c r="C41" s="17">
        <f>SUM($B$4:B41)</f>
        <v/>
      </c>
      <c r="D41" s="18">
        <f>ROUND(Controls!$B$6*(1+Controls!$B$7)^(A41-1),2)</f>
        <v/>
      </c>
      <c r="E41" s="17">
        <f>Controls!$B$8+Controls!$B$9*(A41-1)</f>
        <v/>
      </c>
      <c r="F41" s="17">
        <f>Controls!$B$10+INT((A41-1)/Controls!$B$11)*Controls!$B$12</f>
        <v/>
      </c>
      <c r="G41" s="19">
        <f>MIN(Controls!$B$15,Controls!$B$13+(A41-1)*Controls!$B$14)</f>
        <v/>
      </c>
      <c r="H41" s="17">
        <f>ROUND(Controls!$B$16*(1+Controls!$B$17)^(A41-1),0)</f>
        <v/>
      </c>
      <c r="I41" s="18">
        <f>ROUND(Controls!$B$18*(1+Controls!$B$19)^(A41-1),2)</f>
        <v/>
      </c>
      <c r="J41" s="20" t="inlineStr"/>
      <c r="K41" s="20" t="inlineStr"/>
    </row>
    <row r="42">
      <c r="A42" s="16" t="n">
        <v>39</v>
      </c>
      <c r="B42" s="17">
        <f>ROUND(Controls!$B$4*(A42^Controls!$B$5),0)</f>
        <v/>
      </c>
      <c r="C42" s="17">
        <f>SUM($B$4:B42)</f>
        <v/>
      </c>
      <c r="D42" s="18">
        <f>ROUND(Controls!$B$6*(1+Controls!$B$7)^(A42-1),2)</f>
        <v/>
      </c>
      <c r="E42" s="17">
        <f>Controls!$B$8+Controls!$B$9*(A42-1)</f>
        <v/>
      </c>
      <c r="F42" s="17">
        <f>Controls!$B$10+INT((A42-1)/Controls!$B$11)*Controls!$B$12</f>
        <v/>
      </c>
      <c r="G42" s="19">
        <f>MIN(Controls!$B$15,Controls!$B$13+(A42-1)*Controls!$B$14)</f>
        <v/>
      </c>
      <c r="H42" s="17">
        <f>ROUND(Controls!$B$16*(1+Controls!$B$17)^(A42-1),0)</f>
        <v/>
      </c>
      <c r="I42" s="18">
        <f>ROUND(Controls!$B$18*(1+Controls!$B$19)^(A42-1),2)</f>
        <v/>
      </c>
      <c r="J42" s="20" t="inlineStr"/>
      <c r="K42" s="20" t="inlineStr"/>
    </row>
    <row r="43">
      <c r="A43" s="16" t="n">
        <v>40</v>
      </c>
      <c r="B43" s="17">
        <f>ROUND(Controls!$B$4*(A43^Controls!$B$5),0)</f>
        <v/>
      </c>
      <c r="C43" s="17">
        <f>SUM($B$4:B43)</f>
        <v/>
      </c>
      <c r="D43" s="18">
        <f>ROUND(Controls!$B$6*(1+Controls!$B$7)^(A43-1),2)</f>
        <v/>
      </c>
      <c r="E43" s="17">
        <f>Controls!$B$8+Controls!$B$9*(A43-1)</f>
        <v/>
      </c>
      <c r="F43" s="17">
        <f>Controls!$B$10+INT((A43-1)/Controls!$B$11)*Controls!$B$12</f>
        <v/>
      </c>
      <c r="G43" s="19">
        <f>MIN(Controls!$B$15,Controls!$B$13+(A43-1)*Controls!$B$14)</f>
        <v/>
      </c>
      <c r="H43" s="17">
        <f>ROUND(Controls!$B$16*(1+Controls!$B$17)^(A43-1),0)</f>
        <v/>
      </c>
      <c r="I43" s="18">
        <f>ROUND(Controls!$B$18*(1+Controls!$B$19)^(A43-1),2)</f>
        <v/>
      </c>
      <c r="J43" s="20" t="inlineStr">
        <is>
          <t>Risk Review / Fast Lane Payouts</t>
        </is>
      </c>
      <c r="K43" s="20" t="inlineStr">
        <is>
          <t>Trusted payouts</t>
        </is>
      </c>
    </row>
    <row r="44">
      <c r="A44" s="16" t="n">
        <v>41</v>
      </c>
      <c r="B44" s="17">
        <f>ROUND(Controls!$B$4*(A44^Controls!$B$5),0)</f>
        <v/>
      </c>
      <c r="C44" s="17">
        <f>SUM($B$4:B44)</f>
        <v/>
      </c>
      <c r="D44" s="18">
        <f>ROUND(Controls!$B$6*(1+Controls!$B$7)^(A44-1),2)</f>
        <v/>
      </c>
      <c r="E44" s="17">
        <f>Controls!$B$8+Controls!$B$9*(A44-1)</f>
        <v/>
      </c>
      <c r="F44" s="17">
        <f>Controls!$B$10+INT((A44-1)/Controls!$B$11)*Controls!$B$12</f>
        <v/>
      </c>
      <c r="G44" s="19">
        <f>MIN(Controls!$B$15,Controls!$B$13+(A44-1)*Controls!$B$14)</f>
        <v/>
      </c>
      <c r="H44" s="17">
        <f>ROUND(Controls!$B$16*(1+Controls!$B$17)^(A44-1),0)</f>
        <v/>
      </c>
      <c r="I44" s="18">
        <f>ROUND(Controls!$B$18*(1+Controls!$B$19)^(A44-1),2)</f>
        <v/>
      </c>
      <c r="J44" s="20" t="inlineStr"/>
      <c r="K44" s="20" t="inlineStr"/>
    </row>
    <row r="45">
      <c r="A45" s="16" t="n">
        <v>42</v>
      </c>
      <c r="B45" s="17">
        <f>ROUND(Controls!$B$4*(A45^Controls!$B$5),0)</f>
        <v/>
      </c>
      <c r="C45" s="17">
        <f>SUM($B$4:B45)</f>
        <v/>
      </c>
      <c r="D45" s="18">
        <f>ROUND(Controls!$B$6*(1+Controls!$B$7)^(A45-1),2)</f>
        <v/>
      </c>
      <c r="E45" s="17">
        <f>Controls!$B$8+Controls!$B$9*(A45-1)</f>
        <v/>
      </c>
      <c r="F45" s="17">
        <f>Controls!$B$10+INT((A45-1)/Controls!$B$11)*Controls!$B$12</f>
        <v/>
      </c>
      <c r="G45" s="19">
        <f>MIN(Controls!$B$15,Controls!$B$13+(A45-1)*Controls!$B$14)</f>
        <v/>
      </c>
      <c r="H45" s="17">
        <f>ROUND(Controls!$B$16*(1+Controls!$B$17)^(A45-1),0)</f>
        <v/>
      </c>
      <c r="I45" s="18">
        <f>ROUND(Controls!$B$18*(1+Controls!$B$19)^(A45-1),2)</f>
        <v/>
      </c>
      <c r="J45" s="20" t="inlineStr"/>
      <c r="K45" s="20" t="inlineStr"/>
    </row>
    <row r="46">
      <c r="A46" s="16" t="n">
        <v>43</v>
      </c>
      <c r="B46" s="17">
        <f>ROUND(Controls!$B$4*(A46^Controls!$B$5),0)</f>
        <v/>
      </c>
      <c r="C46" s="17">
        <f>SUM($B$4:B46)</f>
        <v/>
      </c>
      <c r="D46" s="18">
        <f>ROUND(Controls!$B$6*(1+Controls!$B$7)^(A46-1),2)</f>
        <v/>
      </c>
      <c r="E46" s="17">
        <f>Controls!$B$8+Controls!$B$9*(A46-1)</f>
        <v/>
      </c>
      <c r="F46" s="17">
        <f>Controls!$B$10+INT((A46-1)/Controls!$B$11)*Controls!$B$12</f>
        <v/>
      </c>
      <c r="G46" s="19">
        <f>MIN(Controls!$B$15,Controls!$B$13+(A46-1)*Controls!$B$14)</f>
        <v/>
      </c>
      <c r="H46" s="17">
        <f>ROUND(Controls!$B$16*(1+Controls!$B$17)^(A46-1),0)</f>
        <v/>
      </c>
      <c r="I46" s="18">
        <f>ROUND(Controls!$B$18*(1+Controls!$B$19)^(A46-1),2)</f>
        <v/>
      </c>
      <c r="J46" s="20" t="inlineStr"/>
      <c r="K46" s="20" t="inlineStr"/>
    </row>
    <row r="47">
      <c r="A47" s="16" t="n">
        <v>44</v>
      </c>
      <c r="B47" s="17">
        <f>ROUND(Controls!$B$4*(A47^Controls!$B$5),0)</f>
        <v/>
      </c>
      <c r="C47" s="17">
        <f>SUM($B$4:B47)</f>
        <v/>
      </c>
      <c r="D47" s="18">
        <f>ROUND(Controls!$B$6*(1+Controls!$B$7)^(A47-1),2)</f>
        <v/>
      </c>
      <c r="E47" s="17">
        <f>Controls!$B$8+Controls!$B$9*(A47-1)</f>
        <v/>
      </c>
      <c r="F47" s="17">
        <f>Controls!$B$10+INT((A47-1)/Controls!$B$11)*Controls!$B$12</f>
        <v/>
      </c>
      <c r="G47" s="19">
        <f>MIN(Controls!$B$15,Controls!$B$13+(A47-1)*Controls!$B$14)</f>
        <v/>
      </c>
      <c r="H47" s="17">
        <f>ROUND(Controls!$B$16*(1+Controls!$B$17)^(A47-1),0)</f>
        <v/>
      </c>
      <c r="I47" s="18">
        <f>ROUND(Controls!$B$18*(1+Controls!$B$19)^(A47-1),2)</f>
        <v/>
      </c>
      <c r="J47" s="20" t="inlineStr"/>
      <c r="K47" s="20" t="inlineStr"/>
    </row>
    <row r="48">
      <c r="A48" s="16" t="n">
        <v>45</v>
      </c>
      <c r="B48" s="17">
        <f>ROUND(Controls!$B$4*(A48^Controls!$B$5),0)</f>
        <v/>
      </c>
      <c r="C48" s="17">
        <f>SUM($B$4:B48)</f>
        <v/>
      </c>
      <c r="D48" s="18">
        <f>ROUND(Controls!$B$6*(1+Controls!$B$7)^(A48-1),2)</f>
        <v/>
      </c>
      <c r="E48" s="17">
        <f>Controls!$B$8+Controls!$B$9*(A48-1)</f>
        <v/>
      </c>
      <c r="F48" s="17">
        <f>Controls!$B$10+INT((A48-1)/Controls!$B$11)*Controls!$B$12</f>
        <v/>
      </c>
      <c r="G48" s="19">
        <f>MIN(Controls!$B$15,Controls!$B$13+(A48-1)*Controls!$B$14)</f>
        <v/>
      </c>
      <c r="H48" s="17">
        <f>ROUND(Controls!$B$16*(1+Controls!$B$17)^(A48-1),0)</f>
        <v/>
      </c>
      <c r="I48" s="18">
        <f>ROUND(Controls!$B$18*(1+Controls!$B$19)^(A48-1),2)</f>
        <v/>
      </c>
      <c r="J48" s="20" t="inlineStr">
        <is>
          <t>Elite Exchange Cards</t>
        </is>
      </c>
      <c r="K48" s="20" t="inlineStr">
        <is>
          <t>Prestige</t>
        </is>
      </c>
    </row>
    <row r="49">
      <c r="A49" s="16" t="n">
        <v>46</v>
      </c>
      <c r="B49" s="17">
        <f>ROUND(Controls!$B$4*(A49^Controls!$B$5),0)</f>
        <v/>
      </c>
      <c r="C49" s="17">
        <f>SUM($B$4:B49)</f>
        <v/>
      </c>
      <c r="D49" s="18">
        <f>ROUND(Controls!$B$6*(1+Controls!$B$7)^(A49-1),2)</f>
        <v/>
      </c>
      <c r="E49" s="17">
        <f>Controls!$B$8+Controls!$B$9*(A49-1)</f>
        <v/>
      </c>
      <c r="F49" s="17">
        <f>Controls!$B$10+INT((A49-1)/Controls!$B$11)*Controls!$B$12</f>
        <v/>
      </c>
      <c r="G49" s="19">
        <f>MIN(Controls!$B$15,Controls!$B$13+(A49-1)*Controls!$B$14)</f>
        <v/>
      </c>
      <c r="H49" s="17">
        <f>ROUND(Controls!$B$16*(1+Controls!$B$17)^(A49-1),0)</f>
        <v/>
      </c>
      <c r="I49" s="18">
        <f>ROUND(Controls!$B$18*(1+Controls!$B$19)^(A49-1),2)</f>
        <v/>
      </c>
      <c r="J49" s="20" t="inlineStr"/>
      <c r="K49" s="20" t="inlineStr"/>
    </row>
    <row r="50">
      <c r="A50" s="16" t="n">
        <v>47</v>
      </c>
      <c r="B50" s="17">
        <f>ROUND(Controls!$B$4*(A50^Controls!$B$5),0)</f>
        <v/>
      </c>
      <c r="C50" s="17">
        <f>SUM($B$4:B50)</f>
        <v/>
      </c>
      <c r="D50" s="18">
        <f>ROUND(Controls!$B$6*(1+Controls!$B$7)^(A50-1),2)</f>
        <v/>
      </c>
      <c r="E50" s="17">
        <f>Controls!$B$8+Controls!$B$9*(A50-1)</f>
        <v/>
      </c>
      <c r="F50" s="17">
        <f>Controls!$B$10+INT((A50-1)/Controls!$B$11)*Controls!$B$12</f>
        <v/>
      </c>
      <c r="G50" s="19">
        <f>MIN(Controls!$B$15,Controls!$B$13+(A50-1)*Controls!$B$14)</f>
        <v/>
      </c>
      <c r="H50" s="17">
        <f>ROUND(Controls!$B$16*(1+Controls!$B$17)^(A50-1),0)</f>
        <v/>
      </c>
      <c r="I50" s="18">
        <f>ROUND(Controls!$B$18*(1+Controls!$B$19)^(A50-1),2)</f>
        <v/>
      </c>
      <c r="J50" s="20" t="inlineStr"/>
      <c r="K50" s="20" t="inlineStr"/>
    </row>
    <row r="51">
      <c r="A51" s="16" t="n">
        <v>48</v>
      </c>
      <c r="B51" s="17">
        <f>ROUND(Controls!$B$4*(A51^Controls!$B$5),0)</f>
        <v/>
      </c>
      <c r="C51" s="17">
        <f>SUM($B$4:B51)</f>
        <v/>
      </c>
      <c r="D51" s="18">
        <f>ROUND(Controls!$B$6*(1+Controls!$B$7)^(A51-1),2)</f>
        <v/>
      </c>
      <c r="E51" s="17">
        <f>Controls!$B$8+Controls!$B$9*(A51-1)</f>
        <v/>
      </c>
      <c r="F51" s="17">
        <f>Controls!$B$10+INT((A51-1)/Controls!$B$11)*Controls!$B$12</f>
        <v/>
      </c>
      <c r="G51" s="19">
        <f>MIN(Controls!$B$15,Controls!$B$13+(A51-1)*Controls!$B$14)</f>
        <v/>
      </c>
      <c r="H51" s="17">
        <f>ROUND(Controls!$B$16*(1+Controls!$B$17)^(A51-1),0)</f>
        <v/>
      </c>
      <c r="I51" s="18">
        <f>ROUND(Controls!$B$18*(1+Controls!$B$19)^(A51-1),2)</f>
        <v/>
      </c>
      <c r="J51" s="20" t="inlineStr"/>
      <c r="K51" s="20" t="inlineStr"/>
    </row>
    <row r="52">
      <c r="A52" s="16" t="n">
        <v>49</v>
      </c>
      <c r="B52" s="17">
        <f>ROUND(Controls!$B$4*(A52^Controls!$B$5),0)</f>
        <v/>
      </c>
      <c r="C52" s="17">
        <f>SUM($B$4:B52)</f>
        <v/>
      </c>
      <c r="D52" s="18">
        <f>ROUND(Controls!$B$6*(1+Controls!$B$7)^(A52-1),2)</f>
        <v/>
      </c>
      <c r="E52" s="17">
        <f>Controls!$B$8+Controls!$B$9*(A52-1)</f>
        <v/>
      </c>
      <c r="F52" s="17">
        <f>Controls!$B$10+INT((A52-1)/Controls!$B$11)*Controls!$B$12</f>
        <v/>
      </c>
      <c r="G52" s="19">
        <f>MIN(Controls!$B$15,Controls!$B$13+(A52-1)*Controls!$B$14)</f>
        <v/>
      </c>
      <c r="H52" s="17">
        <f>ROUND(Controls!$B$16*(1+Controls!$B$17)^(A52-1),0)</f>
        <v/>
      </c>
      <c r="I52" s="18">
        <f>ROUND(Controls!$B$18*(1+Controls!$B$19)^(A52-1),2)</f>
        <v/>
      </c>
      <c r="J52" s="20" t="inlineStr"/>
      <c r="K52" s="20" t="inlineStr"/>
    </row>
    <row r="53">
      <c r="A53" s="16" t="n">
        <v>50</v>
      </c>
      <c r="B53" s="17" t="n"/>
      <c r="C53" s="17">
        <f>SUM($B$4:B53)</f>
        <v/>
      </c>
      <c r="D53" s="18">
        <f>ROUND(Controls!$B$6*(1+Controls!$B$7)^(A53-1),2)</f>
        <v/>
      </c>
      <c r="E53" s="17">
        <f>Controls!$B$8+Controls!$B$9*(A53-1)</f>
        <v/>
      </c>
      <c r="F53" s="17">
        <f>Controls!$B$10+INT((A53-1)/Controls!$B$11)*Controls!$B$12</f>
        <v/>
      </c>
      <c r="G53" s="19">
        <f>MIN(Controls!$B$15,Controls!$B$13+(A53-1)*Controls!$B$14)</f>
        <v/>
      </c>
      <c r="H53" s="17">
        <f>ROUND(Controls!$B$16*(1+Controls!$B$17)^(A53-1),0)</f>
        <v/>
      </c>
      <c r="I53" s="18">
        <f>ROUND(Controls!$B$18*(1+Controls!$B$19)^(A53-1),2)</f>
        <v/>
      </c>
      <c r="J53" s="20" t="inlineStr">
        <is>
          <t>Legend Tier + Prestige badge</t>
        </is>
      </c>
      <c r="K53" s="20" t="inlineStr">
        <is>
          <t>Legend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0" customWidth="1" min="8" max="8"/>
    <col width="18" customWidth="1" min="9" max="9"/>
    <col width="18" customWidth="1" min="10" max="10"/>
    <col width="24" customWidth="1" min="11" max="11"/>
  </cols>
  <sheetData>
    <row r="1" ht="20" customHeight="1">
      <c r="A1" s="1" t="inlineStr">
        <is>
          <t>Upgrade Card Parameters</t>
        </is>
      </c>
    </row>
    <row r="3">
      <c r="A3" s="6" t="inlineStr">
        <is>
          <t>Upgrade Name</t>
        </is>
      </c>
      <c r="B3" s="6" t="inlineStr">
        <is>
          <t>Category</t>
        </is>
      </c>
      <c r="C3" s="6" t="inlineStr">
        <is>
          <t>Unlock Level</t>
        </is>
      </c>
      <c r="D3" s="6" t="inlineStr">
        <is>
          <t>Base Cost</t>
        </is>
      </c>
      <c r="E3" s="6" t="inlineStr">
        <is>
          <t>Cost Growth</t>
        </is>
      </c>
      <c r="F3" s="6" t="inlineStr">
        <is>
          <t>Base Hourly Gain</t>
        </is>
      </c>
      <c r="G3" s="6" t="inlineStr">
        <is>
          <t>Gain Growth</t>
        </is>
      </c>
      <c r="H3" s="6" t="inlineStr">
        <is>
          <t>Max Tier</t>
        </is>
      </c>
      <c r="I3" s="6" t="inlineStr">
        <is>
          <t>Secondary Effect</t>
        </is>
      </c>
      <c r="J3" s="6" t="inlineStr">
        <is>
          <t>Effect per Tier</t>
        </is>
      </c>
      <c r="K3" s="6" t="inlineStr">
        <is>
          <t>Design Notes</t>
        </is>
      </c>
    </row>
    <row r="4">
      <c r="A4" s="21" t="inlineStr">
        <is>
          <t>Tap Engine</t>
        </is>
      </c>
      <c r="B4" s="21" t="inlineStr">
        <is>
          <t>Mining</t>
        </is>
      </c>
      <c r="C4" s="21" t="n">
        <v>1</v>
      </c>
      <c r="D4" s="22" t="n">
        <v>50</v>
      </c>
      <c r="E4" s="23" t="n">
        <v>1.34</v>
      </c>
      <c r="F4" s="22" t="n">
        <v>15</v>
      </c>
      <c r="G4" s="23" t="n">
        <v>1.19</v>
      </c>
      <c r="H4" s="24" t="n">
        <v>15</v>
      </c>
      <c r="I4" s="21" t="inlineStr">
        <is>
          <t>Tap multiplier</t>
        </is>
      </c>
      <c r="J4" s="21" t="inlineStr">
        <is>
          <t>+1% every 5 tiers</t>
        </is>
      </c>
      <c r="K4" s="21" t="inlineStr">
        <is>
          <t>Starter efficiency anchor</t>
        </is>
      </c>
    </row>
    <row r="5">
      <c r="A5" s="21" t="inlineStr">
        <is>
          <t>GPU Cluster</t>
        </is>
      </c>
      <c r="B5" s="21" t="inlineStr">
        <is>
          <t>Mining</t>
        </is>
      </c>
      <c r="C5" s="21" t="n">
        <v>2</v>
      </c>
      <c r="D5" s="22" t="n">
        <v>120</v>
      </c>
      <c r="E5" s="23" t="n">
        <v>1.35</v>
      </c>
      <c r="F5" s="22" t="n">
        <v>30</v>
      </c>
      <c r="G5" s="23" t="n">
        <v>1.2</v>
      </c>
      <c r="H5" s="24" t="n">
        <v>15</v>
      </c>
      <c r="I5" s="21" t="inlineStr">
        <is>
          <t>Energy restore</t>
        </is>
      </c>
      <c r="J5" s="21" t="inlineStr">
        <is>
          <t>+5 energy/min every 5 tiers</t>
        </is>
      </c>
      <c r="K5" s="21" t="inlineStr">
        <is>
          <t>Smooth early passive</t>
        </is>
      </c>
    </row>
    <row r="6">
      <c r="A6" s="21" t="inlineStr">
        <is>
          <t>Referral Hub</t>
        </is>
      </c>
      <c r="B6" s="21" t="inlineStr">
        <is>
          <t>Community</t>
        </is>
      </c>
      <c r="C6" s="21" t="n">
        <v>3</v>
      </c>
      <c r="D6" s="22" t="n">
        <v>180</v>
      </c>
      <c r="E6" s="23" t="n">
        <v>1.33</v>
      </c>
      <c r="F6" s="22" t="n">
        <v>40</v>
      </c>
      <c r="G6" s="23" t="n">
        <v>1.18</v>
      </c>
      <c r="H6" s="24" t="n">
        <v>15</v>
      </c>
      <c r="I6" s="21" t="inlineStr">
        <is>
          <t>Referral bonus</t>
        </is>
      </c>
      <c r="J6" s="21" t="inlineStr">
        <is>
          <t>+1% referral reward per tier</t>
        </is>
      </c>
      <c r="K6" s="21" t="inlineStr">
        <is>
          <t>Quality social growth</t>
        </is>
      </c>
    </row>
    <row r="7">
      <c r="A7" s="21" t="inlineStr">
        <is>
          <t>Liquidity Pool</t>
        </is>
      </c>
      <c r="B7" s="21" t="inlineStr">
        <is>
          <t>Exchange</t>
        </is>
      </c>
      <c r="C7" s="21" t="n">
        <v>4</v>
      </c>
      <c r="D7" s="22" t="n">
        <v>220</v>
      </c>
      <c r="E7" s="23" t="n">
        <v>1.34</v>
      </c>
      <c r="F7" s="22" t="n">
        <v>50</v>
      </c>
      <c r="G7" s="23" t="n">
        <v>1.19</v>
      </c>
      <c r="H7" s="24" t="n">
        <v>15</v>
      </c>
      <c r="I7" s="21" t="inlineStr">
        <is>
          <t>Offline yield</t>
        </is>
      </c>
      <c r="J7" s="21" t="inlineStr">
        <is>
          <t>+0.5% idle income per tier</t>
        </is>
      </c>
      <c r="K7" s="21" t="inlineStr">
        <is>
          <t>Economy stabilizer</t>
        </is>
      </c>
    </row>
    <row r="8">
      <c r="A8" s="21" t="inlineStr">
        <is>
          <t>Streak Vault</t>
        </is>
      </c>
      <c r="B8" s="21" t="inlineStr">
        <is>
          <t>Community</t>
        </is>
      </c>
      <c r="C8" s="21" t="n">
        <v>5</v>
      </c>
      <c r="D8" s="22" t="n">
        <v>320</v>
      </c>
      <c r="E8" s="23" t="n">
        <v>1.35</v>
      </c>
      <c r="F8" s="22" t="n">
        <v>70</v>
      </c>
      <c r="G8" s="23" t="n">
        <v>1.19</v>
      </c>
      <c r="H8" s="24" t="n">
        <v>15</v>
      </c>
      <c r="I8" s="21" t="inlineStr">
        <is>
          <t>Daily bonus</t>
        </is>
      </c>
      <c r="J8" s="21" t="inlineStr">
        <is>
          <t>+2% daily bonus every 3 tiers</t>
        </is>
      </c>
      <c r="K8" s="21" t="inlineStr">
        <is>
          <t>Retention driver</t>
        </is>
      </c>
    </row>
    <row r="9">
      <c r="A9" s="21" t="inlineStr">
        <is>
          <t>ASIC Vault</t>
        </is>
      </c>
      <c r="B9" s="21" t="inlineStr">
        <is>
          <t>Mining</t>
        </is>
      </c>
      <c r="C9" s="21" t="n">
        <v>6</v>
      </c>
      <c r="D9" s="22" t="n">
        <v>400</v>
      </c>
      <c r="E9" s="23" t="n">
        <v>1.37</v>
      </c>
      <c r="F9" s="22" t="n">
        <v>90</v>
      </c>
      <c r="G9" s="23" t="n">
        <v>1.21</v>
      </c>
      <c r="H9" s="24" t="n">
        <v>15</v>
      </c>
      <c r="I9" s="21" t="inlineStr">
        <is>
          <t>Tap crit chance</t>
        </is>
      </c>
      <c r="J9" s="21" t="inlineStr">
        <is>
          <t>+0.3% crit chance per tier</t>
        </is>
      </c>
      <c r="K9" s="21" t="inlineStr">
        <is>
          <t>Midgame power step</t>
        </is>
      </c>
    </row>
    <row r="10">
      <c r="A10" s="21" t="inlineStr">
        <is>
          <t>Swap Router</t>
        </is>
      </c>
      <c r="B10" s="21" t="inlineStr">
        <is>
          <t>Exchange</t>
        </is>
      </c>
      <c r="C10" s="21" t="n">
        <v>8</v>
      </c>
      <c r="D10" s="22" t="n">
        <v>600</v>
      </c>
      <c r="E10" s="23" t="n">
        <v>1.36</v>
      </c>
      <c r="F10" s="22" t="n">
        <v>130</v>
      </c>
      <c r="G10" s="23" t="n">
        <v>1.2</v>
      </c>
      <c r="H10" s="24" t="n">
        <v>15</v>
      </c>
      <c r="I10" s="21" t="inlineStr">
        <is>
          <t>Market fee bonus</t>
        </is>
      </c>
      <c r="J10" s="21" t="inlineStr">
        <is>
          <t>+0.4% claim conversion per tier</t>
        </is>
      </c>
      <c r="K10" s="21" t="inlineStr">
        <is>
          <t>Early finance card</t>
        </is>
      </c>
    </row>
    <row r="11">
      <c r="A11" s="21" t="inlineStr">
        <is>
          <t>Creator Bounties</t>
        </is>
      </c>
      <c r="B11" s="21" t="inlineStr">
        <is>
          <t>Community</t>
        </is>
      </c>
      <c r="C11" s="21" t="n">
        <v>10</v>
      </c>
      <c r="D11" s="22" t="n">
        <v>850</v>
      </c>
      <c r="E11" s="23" t="n">
        <v>1.35</v>
      </c>
      <c r="F11" s="22" t="n">
        <v>180</v>
      </c>
      <c r="G11" s="23" t="n">
        <v>1.19</v>
      </c>
      <c r="H11" s="24" t="n">
        <v>15</v>
      </c>
      <c r="I11" s="21" t="inlineStr">
        <is>
          <t>Quest reward</t>
        </is>
      </c>
      <c r="J11" s="21" t="inlineStr">
        <is>
          <t>+1.5% mission reward per tier</t>
        </is>
      </c>
      <c r="K11" s="21" t="inlineStr">
        <is>
          <t>UGC/social engine</t>
        </is>
      </c>
    </row>
    <row r="12">
      <c r="A12" s="21" t="inlineStr">
        <is>
          <t>Wallet Vault</t>
        </is>
      </c>
      <c r="B12" s="21" t="inlineStr">
        <is>
          <t>Security</t>
        </is>
      </c>
      <c r="C12" s="21" t="n">
        <v>11</v>
      </c>
      <c r="D12" s="22" t="n">
        <v>900</v>
      </c>
      <c r="E12" s="23" t="n">
        <v>1.35</v>
      </c>
      <c r="F12" s="22" t="n">
        <v>170</v>
      </c>
      <c r="G12" s="23" t="n">
        <v>1.18</v>
      </c>
      <c r="H12" s="24" t="n">
        <v>15</v>
      </c>
      <c r="I12" s="21" t="inlineStr">
        <is>
          <t>Trust score</t>
        </is>
      </c>
      <c r="J12" s="21" t="inlineStr">
        <is>
          <t>+0.5 trust per tier</t>
        </is>
      </c>
      <c r="K12" s="21" t="inlineStr">
        <is>
          <t>Supports fast-lane reviews</t>
        </is>
      </c>
    </row>
    <row r="13">
      <c r="A13" s="21" t="inlineStr">
        <is>
          <t>Quantum Cooler</t>
        </is>
      </c>
      <c r="B13" s="21" t="inlineStr">
        <is>
          <t>Mining</t>
        </is>
      </c>
      <c r="C13" s="21" t="n">
        <v>12</v>
      </c>
      <c r="D13" s="22" t="n">
        <v>1500</v>
      </c>
      <c r="E13" s="23" t="n">
        <v>1.39</v>
      </c>
      <c r="F13" s="22" t="n">
        <v>260</v>
      </c>
      <c r="G13" s="23" t="n">
        <v>1.22</v>
      </c>
      <c r="H13" s="24" t="n">
        <v>15</v>
      </c>
      <c r="I13" s="21" t="inlineStr">
        <is>
          <t>Max energy</t>
        </is>
      </c>
      <c r="J13" s="21" t="inlineStr">
        <is>
          <t>+15 max energy per tier</t>
        </is>
      </c>
      <c r="K13" s="21" t="inlineStr">
        <is>
          <t>Idle comfort</t>
        </is>
      </c>
    </row>
    <row r="14">
      <c r="A14" s="21" t="inlineStr">
        <is>
          <t>AI Optimizer</t>
        </is>
      </c>
      <c r="B14" s="21" t="inlineStr">
        <is>
          <t>Research</t>
        </is>
      </c>
      <c r="C14" s="21" t="n">
        <v>13</v>
      </c>
      <c r="D14" s="22" t="n">
        <v>1600</v>
      </c>
      <c r="E14" s="23" t="n">
        <v>1.37</v>
      </c>
      <c r="F14" s="22" t="n">
        <v>320</v>
      </c>
      <c r="G14" s="23" t="n">
        <v>1.21</v>
      </c>
      <c r="H14" s="24" t="n">
        <v>15</v>
      </c>
      <c r="I14" s="21" t="inlineStr">
        <is>
          <t>Card synergy</t>
        </is>
      </c>
      <c r="J14" s="21" t="inlineStr">
        <is>
          <t>+0.4% all hourly per tier</t>
        </is>
      </c>
      <c r="K14" s="21" t="inlineStr">
        <is>
          <t>Compounding driver</t>
        </is>
      </c>
    </row>
    <row r="15">
      <c r="A15" s="21" t="inlineStr">
        <is>
          <t>Fee Engine</t>
        </is>
      </c>
      <c r="B15" s="21" t="inlineStr">
        <is>
          <t>Exchange</t>
        </is>
      </c>
      <c r="C15" s="21" t="n">
        <v>14</v>
      </c>
      <c r="D15" s="22" t="n">
        <v>2500</v>
      </c>
      <c r="E15" s="23" t="n">
        <v>1.38</v>
      </c>
      <c r="F15" s="22" t="n">
        <v>480</v>
      </c>
      <c r="G15" s="23" t="n">
        <v>1.2</v>
      </c>
      <c r="H15" s="24" t="n">
        <v>15</v>
      </c>
      <c r="I15" s="21" t="inlineStr">
        <is>
          <t>Spread capture</t>
        </is>
      </c>
      <c r="J15" s="21" t="inlineStr">
        <is>
          <t>+0.5% passive cap per tier</t>
        </is>
      </c>
      <c r="K15" s="21" t="inlineStr">
        <is>
          <t>Late midgame finance</t>
        </is>
      </c>
    </row>
    <row r="16">
      <c r="A16" s="21" t="inlineStr">
        <is>
          <t>Premium Market</t>
        </is>
      </c>
      <c r="B16" s="21" t="inlineStr">
        <is>
          <t>Exchange</t>
        </is>
      </c>
      <c r="C16" s="21" t="n">
        <v>15</v>
      </c>
      <c r="D16" s="22" t="n">
        <v>2800</v>
      </c>
      <c r="E16" s="23" t="n">
        <v>1.39</v>
      </c>
      <c r="F16" s="22" t="n">
        <v>520</v>
      </c>
      <c r="G16" s="23" t="n">
        <v>1.2</v>
      </c>
      <c r="H16" s="24" t="n">
        <v>15</v>
      </c>
      <c r="I16" s="21" t="inlineStr">
        <is>
          <t>Premium offers</t>
        </is>
      </c>
      <c r="J16" s="21" t="inlineStr">
        <is>
          <t>+1 premium slot every 5 tiers</t>
        </is>
      </c>
      <c r="K16" s="21" t="inlineStr">
        <is>
          <t>Monetization gate</t>
        </is>
      </c>
    </row>
    <row r="17">
      <c r="A17" s="21" t="inlineStr">
        <is>
          <t>Guild Program</t>
        </is>
      </c>
      <c r="B17" s="21" t="inlineStr">
        <is>
          <t>Community</t>
        </is>
      </c>
      <c r="C17" s="21" t="n">
        <v>18</v>
      </c>
      <c r="D17" s="22" t="n">
        <v>3000</v>
      </c>
      <c r="E17" s="23" t="n">
        <v>1.38</v>
      </c>
      <c r="F17" s="22" t="n">
        <v>600</v>
      </c>
      <c r="G17" s="23" t="n">
        <v>1.19</v>
      </c>
      <c r="H17" s="24" t="n">
        <v>15</v>
      </c>
      <c r="I17" s="21" t="inlineStr">
        <is>
          <t>Guild reward</t>
        </is>
      </c>
      <c r="J17" s="21" t="inlineStr">
        <is>
          <t>+1% guild contribution value per tier</t>
        </is>
      </c>
      <c r="K17" s="21" t="inlineStr">
        <is>
          <t>Social lock-in</t>
        </is>
      </c>
    </row>
    <row r="18">
      <c r="A18" s="21" t="inlineStr">
        <is>
          <t>Risk Oracle</t>
        </is>
      </c>
      <c r="B18" s="21" t="inlineStr">
        <is>
          <t>Security</t>
        </is>
      </c>
      <c r="C18" s="21" t="n">
        <v>19</v>
      </c>
      <c r="D18" s="22" t="n">
        <v>3500</v>
      </c>
      <c r="E18" s="23" t="n">
        <v>1.37</v>
      </c>
      <c r="F18" s="22" t="n">
        <v>620</v>
      </c>
      <c r="G18" s="23" t="n">
        <v>1.19</v>
      </c>
      <c r="H18" s="24" t="n">
        <v>15</v>
      </c>
      <c r="I18" s="21" t="inlineStr">
        <is>
          <t>Fraud defense</t>
        </is>
      </c>
      <c r="J18" s="21" t="inlineStr">
        <is>
          <t>+0.5 anti-farm rating per tier</t>
        </is>
      </c>
      <c r="K18" s="21" t="inlineStr">
        <is>
          <t>Ops health</t>
        </is>
      </c>
    </row>
    <row r="19">
      <c r="A19" s="21" t="inlineStr">
        <is>
          <t>Market Maker</t>
        </is>
      </c>
      <c r="B19" s="21" t="inlineStr">
        <is>
          <t>Exchange</t>
        </is>
      </c>
      <c r="C19" s="21" t="n">
        <v>20</v>
      </c>
      <c r="D19" s="22" t="n">
        <v>7000</v>
      </c>
      <c r="E19" s="23" t="n">
        <v>1.4</v>
      </c>
      <c r="F19" s="22" t="n">
        <v>1200</v>
      </c>
      <c r="G19" s="23" t="n">
        <v>1.22</v>
      </c>
      <c r="H19" s="24" t="n">
        <v>15</v>
      </c>
      <c r="I19" s="21" t="inlineStr">
        <is>
          <t>Liquidity depth</t>
        </is>
      </c>
      <c r="J19" s="21" t="inlineStr">
        <is>
          <t>+0.6% market ROI per tier</t>
        </is>
      </c>
      <c r="K19" s="21" t="inlineStr">
        <is>
          <t>Big sink</t>
        </is>
      </c>
    </row>
    <row r="20">
      <c r="A20" s="21" t="inlineStr">
        <is>
          <t>Auto-Tap Drones</t>
        </is>
      </c>
      <c r="B20" s="21" t="inlineStr">
        <is>
          <t>Research</t>
        </is>
      </c>
      <c r="C20" s="21" t="n">
        <v>22</v>
      </c>
      <c r="D20" s="22" t="n">
        <v>5200</v>
      </c>
      <c r="E20" s="23" t="n">
        <v>1.39</v>
      </c>
      <c r="F20" s="22" t="n">
        <v>950</v>
      </c>
      <c r="G20" s="23" t="n">
        <v>1.2</v>
      </c>
      <c r="H20" s="24" t="n">
        <v>15</v>
      </c>
      <c r="I20" s="21" t="inlineStr">
        <is>
          <t>Idle taps</t>
        </is>
      </c>
      <c r="J20" s="21" t="inlineStr">
        <is>
          <t>+0.5% idle taps per tier</t>
        </is>
      </c>
      <c r="K20" s="21" t="inlineStr">
        <is>
          <t>Convenience card</t>
        </is>
      </c>
    </row>
    <row r="21">
      <c r="A21" s="21" t="inlineStr">
        <is>
          <t>Mission Center</t>
        </is>
      </c>
      <c r="B21" s="21" t="inlineStr">
        <is>
          <t>Community</t>
        </is>
      </c>
      <c r="C21" s="21" t="n">
        <v>24</v>
      </c>
      <c r="D21" s="22" t="n">
        <v>9500</v>
      </c>
      <c r="E21" s="23" t="n">
        <v>1.4</v>
      </c>
      <c r="F21" s="22" t="n">
        <v>1650</v>
      </c>
      <c r="G21" s="23" t="n">
        <v>1.2</v>
      </c>
      <c r="H21" s="24" t="n">
        <v>15</v>
      </c>
      <c r="I21" s="21" t="inlineStr">
        <is>
          <t>Quest slots</t>
        </is>
      </c>
      <c r="J21" s="21" t="inlineStr">
        <is>
          <t>+1 quest slot every 5 tiers</t>
        </is>
      </c>
      <c r="K21" s="21" t="inlineStr">
        <is>
          <t>Dynamic task depth</t>
        </is>
      </c>
    </row>
    <row r="22">
      <c r="A22" s="21" t="inlineStr">
        <is>
          <t>Data Warehouse</t>
        </is>
      </c>
      <c r="B22" s="21" t="inlineStr">
        <is>
          <t>Research</t>
        </is>
      </c>
      <c r="C22" s="21" t="n">
        <v>26</v>
      </c>
      <c r="D22" s="22" t="n">
        <v>11000</v>
      </c>
      <c r="E22" s="23" t="n">
        <v>1.41</v>
      </c>
      <c r="F22" s="22" t="n">
        <v>1800</v>
      </c>
      <c r="G22" s="23" t="n">
        <v>1.21</v>
      </c>
      <c r="H22" s="24" t="n">
        <v>15</v>
      </c>
      <c r="I22" s="21" t="inlineStr">
        <is>
          <t>Analytics boost</t>
        </is>
      </c>
      <c r="J22" s="21" t="inlineStr">
        <is>
          <t>+0.5% all reward precision per tier</t>
        </is>
      </c>
      <c r="K22" s="21" t="inlineStr">
        <is>
          <t>Meta optimizer</t>
        </is>
      </c>
    </row>
    <row r="23">
      <c r="A23" s="21" t="inlineStr">
        <is>
          <t>Whale Analytics</t>
        </is>
      </c>
      <c r="B23" s="21" t="inlineStr">
        <is>
          <t>Research</t>
        </is>
      </c>
      <c r="C23" s="21" t="n">
        <v>30</v>
      </c>
      <c r="D23" s="22" t="n">
        <v>22000</v>
      </c>
      <c r="E23" s="23" t="n">
        <v>1.42</v>
      </c>
      <c r="F23" s="22" t="n">
        <v>3300</v>
      </c>
      <c r="G23" s="23" t="n">
        <v>1.22</v>
      </c>
      <c r="H23" s="24" t="n">
        <v>15</v>
      </c>
      <c r="I23" s="21" t="inlineStr">
        <is>
          <t>VIP targeting</t>
        </is>
      </c>
      <c r="J23" s="21" t="inlineStr">
        <is>
          <t>+0.7% premium ROI per tier</t>
        </is>
      </c>
      <c r="K23" s="21" t="inlineStr">
        <is>
          <t>Endgame monetization</t>
        </is>
      </c>
    </row>
  </sheetData>
  <mergeCells count="1">
    <mergeCell ref="A1:K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3" customWidth="1" min="5" max="5"/>
    <col width="16" customWidth="1" min="6" max="6"/>
    <col width="18" customWidth="1" min="7" max="7"/>
    <col width="12" customWidth="1" min="8" max="8"/>
    <col width="18" customWidth="1" min="9" max="9"/>
    <col width="18" customWidth="1" min="10" max="10"/>
    <col width="14" customWidth="1" min="11" max="11"/>
    <col width="12" customWidth="1" min="12" max="12"/>
    <col width="22" customWidth="1" min="14" max="14"/>
    <col width="16" customWidth="1" min="15" max="15"/>
  </cols>
  <sheetData>
    <row r="1" ht="20" customHeight="1">
      <c r="A1" s="1" t="inlineStr">
        <is>
          <t>Per-Card Tier Pricing and Hourly Yield</t>
        </is>
      </c>
    </row>
    <row r="3">
      <c r="A3" s="2" t="inlineStr">
        <is>
          <t>Category</t>
        </is>
      </c>
      <c r="B3" s="2" t="inlineStr">
        <is>
          <t>Upgrade Name</t>
        </is>
      </c>
      <c r="C3" s="2" t="inlineStr">
        <is>
          <t>Tier</t>
        </is>
      </c>
      <c r="D3" s="2" t="inlineStr">
        <is>
          <t>Unlock Level</t>
        </is>
      </c>
      <c r="E3" s="2" t="inlineStr">
        <is>
          <t>Cost (ADN)</t>
        </is>
      </c>
      <c r="F3" s="2" t="inlineStr">
        <is>
          <t>Added Hourly ADN</t>
        </is>
      </c>
      <c r="G3" s="2" t="inlineStr">
        <is>
          <t>Card Cumulative ADN/Hr</t>
        </is>
      </c>
      <c r="H3" s="2" t="inlineStr">
        <is>
          <t>Payback Hours</t>
        </is>
      </c>
      <c r="I3" s="2" t="inlineStr">
        <is>
          <t>Secondary Effect</t>
        </is>
      </c>
      <c r="J3" s="2" t="inlineStr">
        <is>
          <t>Effect/Tier</t>
        </is>
      </c>
      <c r="K3" s="2" t="inlineStr">
        <is>
          <t>Phase</t>
        </is>
      </c>
      <c r="L3" s="2" t="inlineStr">
        <is>
          <t>Efficiency Score</t>
        </is>
      </c>
    </row>
    <row r="4" ht="20" customHeight="1">
      <c r="A4" s="25">
        <f>VLOOKUP(B4,Upgrade_Params!$A$4:$K$23,2,FALSE)</f>
        <v/>
      </c>
      <c r="B4" s="20" t="inlineStr">
        <is>
          <t>Tap Engine</t>
        </is>
      </c>
      <c r="C4" s="25" t="n">
        <v>1</v>
      </c>
      <c r="D4" s="25">
        <f>VLOOKUP(B4,Upgrade_Params!$A$4:$K$23,3,FALSE)</f>
        <v/>
      </c>
      <c r="E4" s="17">
        <f>ROUND(VLOOKUP(B4,Upgrade_Params!$A$4:$K$23,4,FALSE)*VLOOKUP(B4,Upgrade_Params!$A$4:$K$23,5,FALSE)^(C4-1),0)</f>
        <v/>
      </c>
      <c r="F4" s="17">
        <f>ROUND(VLOOKUP(B4,Upgrade_Params!$A$4:$K$23,6,FALSE)*VLOOKUP(B4,Upgrade_Params!$A$4:$K$23,7,FALSE)^(C4-1),0)</f>
        <v/>
      </c>
      <c r="G4" s="17">
        <f>SUMIFS($F$4:F4,$B$4:B4,B4)</f>
        <v/>
      </c>
      <c r="H4" s="19">
        <f>IFERROR(E4/F4,0)</f>
        <v/>
      </c>
      <c r="I4" s="20">
        <f>VLOOKUP(B4,Upgrade_Params!$A$4:$K$23,9,FALSE)</f>
        <v/>
      </c>
      <c r="J4" s="20">
        <f>VLOOKUP(B4,Upgrade_Params!$A$4:$K$23,10,FALSE)</f>
        <v/>
      </c>
      <c r="K4" s="26">
        <f>IF(D4&lt;=6,"Starter",IF(D4&lt;=15,"Midgame",IF(D4&lt;=28,"Late Midgame","Endgame")))</f>
        <v/>
      </c>
      <c r="L4" s="18">
        <f>IFERROR(F4/E4*1000,0)</f>
        <v/>
      </c>
      <c r="N4" s="10" t="inlineStr">
        <is>
          <t>Tier Model Checks</t>
        </is>
      </c>
    </row>
    <row r="5">
      <c r="A5" s="25">
        <f>VLOOKUP(B5,Upgrade_Params!$A$4:$K$23,2,FALSE)</f>
        <v/>
      </c>
      <c r="B5" s="20" t="inlineStr">
        <is>
          <t>Tap Engine</t>
        </is>
      </c>
      <c r="C5" s="25" t="n">
        <v>2</v>
      </c>
      <c r="D5" s="25">
        <f>VLOOKUP(B5,Upgrade_Params!$A$4:$K$23,3,FALSE)</f>
        <v/>
      </c>
      <c r="E5" s="17">
        <f>ROUND(VLOOKUP(B5,Upgrade_Params!$A$4:$K$23,4,FALSE)*VLOOKUP(B5,Upgrade_Params!$A$4:$K$23,5,FALSE)^(C5-1),0)</f>
        <v/>
      </c>
      <c r="F5" s="17">
        <f>ROUND(VLOOKUP(B5,Upgrade_Params!$A$4:$K$23,6,FALSE)*VLOOKUP(B5,Upgrade_Params!$A$4:$K$23,7,FALSE)^(C5-1),0)</f>
        <v/>
      </c>
      <c r="G5" s="17">
        <f>SUMIFS($F$4:F5,$B$4:B5,B5)</f>
        <v/>
      </c>
      <c r="H5" s="19">
        <f>IFERROR(E5/F5,0)</f>
        <v/>
      </c>
      <c r="I5" s="20">
        <f>VLOOKUP(B5,Upgrade_Params!$A$4:$K$23,9,FALSE)</f>
        <v/>
      </c>
      <c r="J5" s="20">
        <f>VLOOKUP(B5,Upgrade_Params!$A$4:$K$23,10,FALSE)</f>
        <v/>
      </c>
      <c r="K5" s="26">
        <f>IF(D5&lt;=6,"Starter",IF(D5&lt;=15,"Midgame",IF(D5&lt;=28,"Late Midgame","Endgame")))</f>
        <v/>
      </c>
      <c r="L5" s="18">
        <f>IFERROR(F5/E5*1000,0)</f>
        <v/>
      </c>
      <c r="N5" s="8" t="inlineStr">
        <is>
          <t>Tier rows</t>
        </is>
      </c>
      <c r="O5" s="27">
        <f>COUNTA(B4:B303)</f>
        <v/>
      </c>
    </row>
    <row r="6">
      <c r="A6" s="25">
        <f>VLOOKUP(B6,Upgrade_Params!$A$4:$K$23,2,FALSE)</f>
        <v/>
      </c>
      <c r="B6" s="20" t="inlineStr">
        <is>
          <t>Tap Engine</t>
        </is>
      </c>
      <c r="C6" s="25" t="n">
        <v>3</v>
      </c>
      <c r="D6" s="25">
        <f>VLOOKUP(B6,Upgrade_Params!$A$4:$K$23,3,FALSE)</f>
        <v/>
      </c>
      <c r="E6" s="17">
        <f>ROUND(VLOOKUP(B6,Upgrade_Params!$A$4:$K$23,4,FALSE)*VLOOKUP(B6,Upgrade_Params!$A$4:$K$23,5,FALSE)^(C6-1),0)</f>
        <v/>
      </c>
      <c r="F6" s="17">
        <f>ROUND(VLOOKUP(B6,Upgrade_Params!$A$4:$K$23,6,FALSE)*VLOOKUP(B6,Upgrade_Params!$A$4:$K$23,7,FALSE)^(C6-1),0)</f>
        <v/>
      </c>
      <c r="G6" s="17">
        <f>SUMIFS($F$4:F6,$B$4:B6,B6)</f>
        <v/>
      </c>
      <c r="H6" s="19">
        <f>IFERROR(E6/F6,0)</f>
        <v/>
      </c>
      <c r="I6" s="20">
        <f>VLOOKUP(B6,Upgrade_Params!$A$4:$K$23,9,FALSE)</f>
        <v/>
      </c>
      <c r="J6" s="20">
        <f>VLOOKUP(B6,Upgrade_Params!$A$4:$K$23,10,FALSE)</f>
        <v/>
      </c>
      <c r="K6" s="26">
        <f>IF(D6&lt;=6,"Starter",IF(D6&lt;=15,"Midgame",IF(D6&lt;=28,"Late Midgame","Endgame")))</f>
        <v/>
      </c>
      <c r="L6" s="18">
        <f>IFERROR(F6/E6*1000,0)</f>
        <v/>
      </c>
      <c r="N6" s="8" t="inlineStr">
        <is>
          <t>Cards</t>
        </is>
      </c>
      <c r="O6" s="27">
        <f>COUNTA(Upgrade_Params!A4:A23)</f>
        <v/>
      </c>
    </row>
    <row r="7">
      <c r="A7" s="25">
        <f>VLOOKUP(B7,Upgrade_Params!$A$4:$K$23,2,FALSE)</f>
        <v/>
      </c>
      <c r="B7" s="20" t="inlineStr">
        <is>
          <t>Tap Engine</t>
        </is>
      </c>
      <c r="C7" s="25" t="n">
        <v>4</v>
      </c>
      <c r="D7" s="25">
        <f>VLOOKUP(B7,Upgrade_Params!$A$4:$K$23,3,FALSE)</f>
        <v/>
      </c>
      <c r="E7" s="17">
        <f>ROUND(VLOOKUP(B7,Upgrade_Params!$A$4:$K$23,4,FALSE)*VLOOKUP(B7,Upgrade_Params!$A$4:$K$23,5,FALSE)^(C7-1),0)</f>
        <v/>
      </c>
      <c r="F7" s="17">
        <f>ROUND(VLOOKUP(B7,Upgrade_Params!$A$4:$K$23,6,FALSE)*VLOOKUP(B7,Upgrade_Params!$A$4:$K$23,7,FALSE)^(C7-1),0)</f>
        <v/>
      </c>
      <c r="G7" s="17">
        <f>SUMIFS($F$4:F7,$B$4:B7,B7)</f>
        <v/>
      </c>
      <c r="H7" s="19">
        <f>IFERROR(E7/F7,0)</f>
        <v/>
      </c>
      <c r="I7" s="20">
        <f>VLOOKUP(B7,Upgrade_Params!$A$4:$K$23,9,FALSE)</f>
        <v/>
      </c>
      <c r="J7" s="20">
        <f>VLOOKUP(B7,Upgrade_Params!$A$4:$K$23,10,FALSE)</f>
        <v/>
      </c>
      <c r="K7" s="26">
        <f>IF(D7&lt;=6,"Starter",IF(D7&lt;=15,"Midgame",IF(D7&lt;=28,"Late Midgame","Endgame")))</f>
        <v/>
      </c>
      <c r="L7" s="18">
        <f>IFERROR(F7/E7*1000,0)</f>
        <v/>
      </c>
      <c r="N7" s="8" t="inlineStr">
        <is>
          <t>Avg payback hrs</t>
        </is>
      </c>
      <c r="O7" s="27">
        <f>AVERAGE(H4:H303)</f>
        <v/>
      </c>
    </row>
    <row r="8">
      <c r="A8" s="25">
        <f>VLOOKUP(B8,Upgrade_Params!$A$4:$K$23,2,FALSE)</f>
        <v/>
      </c>
      <c r="B8" s="20" t="inlineStr">
        <is>
          <t>Tap Engine</t>
        </is>
      </c>
      <c r="C8" s="25" t="n">
        <v>5</v>
      </c>
      <c r="D8" s="25">
        <f>VLOOKUP(B8,Upgrade_Params!$A$4:$K$23,3,FALSE)</f>
        <v/>
      </c>
      <c r="E8" s="17">
        <f>ROUND(VLOOKUP(B8,Upgrade_Params!$A$4:$K$23,4,FALSE)*VLOOKUP(B8,Upgrade_Params!$A$4:$K$23,5,FALSE)^(C8-1),0)</f>
        <v/>
      </c>
      <c r="F8" s="17">
        <f>ROUND(VLOOKUP(B8,Upgrade_Params!$A$4:$K$23,6,FALSE)*VLOOKUP(B8,Upgrade_Params!$A$4:$K$23,7,FALSE)^(C8-1),0)</f>
        <v/>
      </c>
      <c r="G8" s="17">
        <f>SUMIFS($F$4:F8,$B$4:B8,B8)</f>
        <v/>
      </c>
      <c r="H8" s="19">
        <f>IFERROR(E8/F8,0)</f>
        <v/>
      </c>
      <c r="I8" s="20">
        <f>VLOOKUP(B8,Upgrade_Params!$A$4:$K$23,9,FALSE)</f>
        <v/>
      </c>
      <c r="J8" s="20">
        <f>VLOOKUP(B8,Upgrade_Params!$A$4:$K$23,10,FALSE)</f>
        <v/>
      </c>
      <c r="K8" s="26">
        <f>IF(D8&lt;=6,"Starter",IF(D8&lt;=15,"Midgame",IF(D8&lt;=28,"Late Midgame","Endgame")))</f>
        <v/>
      </c>
      <c r="L8" s="18">
        <f>IFERROR(F8/E8*1000,0)</f>
        <v/>
      </c>
      <c r="N8" s="8" t="inlineStr">
        <is>
          <t>Max single purchase cost</t>
        </is>
      </c>
      <c r="O8" s="27">
        <f>MAX(E4:E303)</f>
        <v/>
      </c>
    </row>
    <row r="9">
      <c r="A9" s="25">
        <f>VLOOKUP(B9,Upgrade_Params!$A$4:$K$23,2,FALSE)</f>
        <v/>
      </c>
      <c r="B9" s="20" t="inlineStr">
        <is>
          <t>Tap Engine</t>
        </is>
      </c>
      <c r="C9" s="25" t="n">
        <v>6</v>
      </c>
      <c r="D9" s="25">
        <f>VLOOKUP(B9,Upgrade_Params!$A$4:$K$23,3,FALSE)</f>
        <v/>
      </c>
      <c r="E9" s="17">
        <f>ROUND(VLOOKUP(B9,Upgrade_Params!$A$4:$K$23,4,FALSE)*VLOOKUP(B9,Upgrade_Params!$A$4:$K$23,5,FALSE)^(C9-1),0)</f>
        <v/>
      </c>
      <c r="F9" s="17">
        <f>ROUND(VLOOKUP(B9,Upgrade_Params!$A$4:$K$23,6,FALSE)*VLOOKUP(B9,Upgrade_Params!$A$4:$K$23,7,FALSE)^(C9-1),0)</f>
        <v/>
      </c>
      <c r="G9" s="17">
        <f>SUMIFS($F$4:F9,$B$4:B9,B9)</f>
        <v/>
      </c>
      <c r="H9" s="19">
        <f>IFERROR(E9/F9,0)</f>
        <v/>
      </c>
      <c r="I9" s="20">
        <f>VLOOKUP(B9,Upgrade_Params!$A$4:$K$23,9,FALSE)</f>
        <v/>
      </c>
      <c r="J9" s="20">
        <f>VLOOKUP(B9,Upgrade_Params!$A$4:$K$23,10,FALSE)</f>
        <v/>
      </c>
      <c r="K9" s="26">
        <f>IF(D9&lt;=6,"Starter",IF(D9&lt;=15,"Midgame",IF(D9&lt;=28,"Late Midgame","Endgame")))</f>
        <v/>
      </c>
      <c r="L9" s="18">
        <f>IFERROR(F9/E9*1000,0)</f>
        <v/>
      </c>
    </row>
    <row r="10">
      <c r="A10" s="25">
        <f>VLOOKUP(B10,Upgrade_Params!$A$4:$K$23,2,FALSE)</f>
        <v/>
      </c>
      <c r="B10" s="20" t="inlineStr">
        <is>
          <t>Tap Engine</t>
        </is>
      </c>
      <c r="C10" s="25" t="n">
        <v>7</v>
      </c>
      <c r="D10" s="25">
        <f>VLOOKUP(B10,Upgrade_Params!$A$4:$K$23,3,FALSE)</f>
        <v/>
      </c>
      <c r="E10" s="17">
        <f>ROUND(VLOOKUP(B10,Upgrade_Params!$A$4:$K$23,4,FALSE)*VLOOKUP(B10,Upgrade_Params!$A$4:$K$23,5,FALSE)^(C10-1),0)</f>
        <v/>
      </c>
      <c r="F10" s="17">
        <f>ROUND(VLOOKUP(B10,Upgrade_Params!$A$4:$K$23,6,FALSE)*VLOOKUP(B10,Upgrade_Params!$A$4:$K$23,7,FALSE)^(C10-1),0)</f>
        <v/>
      </c>
      <c r="G10" s="17">
        <f>SUMIFS($F$4:F10,$B$4:B10,B10)</f>
        <v/>
      </c>
      <c r="H10" s="19">
        <f>IFERROR(E10/F10,0)</f>
        <v/>
      </c>
      <c r="I10" s="20">
        <f>VLOOKUP(B10,Upgrade_Params!$A$4:$K$23,9,FALSE)</f>
        <v/>
      </c>
      <c r="J10" s="20">
        <f>VLOOKUP(B10,Upgrade_Params!$A$4:$K$23,10,FALSE)</f>
        <v/>
      </c>
      <c r="K10" s="26">
        <f>IF(D10&lt;=6,"Starter",IF(D10&lt;=15,"Midgame",IF(D10&lt;=28,"Late Midgame","Endgame")))</f>
        <v/>
      </c>
      <c r="L10" s="18">
        <f>IFERROR(F10/E10*1000,0)</f>
        <v/>
      </c>
    </row>
    <row r="11">
      <c r="A11" s="25">
        <f>VLOOKUP(B11,Upgrade_Params!$A$4:$K$23,2,FALSE)</f>
        <v/>
      </c>
      <c r="B11" s="20" t="inlineStr">
        <is>
          <t>Tap Engine</t>
        </is>
      </c>
      <c r="C11" s="25" t="n">
        <v>8</v>
      </c>
      <c r="D11" s="25">
        <f>VLOOKUP(B11,Upgrade_Params!$A$4:$K$23,3,FALSE)</f>
        <v/>
      </c>
      <c r="E11" s="17">
        <f>ROUND(VLOOKUP(B11,Upgrade_Params!$A$4:$K$23,4,FALSE)*VLOOKUP(B11,Upgrade_Params!$A$4:$K$23,5,FALSE)^(C11-1),0)</f>
        <v/>
      </c>
      <c r="F11" s="17">
        <f>ROUND(VLOOKUP(B11,Upgrade_Params!$A$4:$K$23,6,FALSE)*VLOOKUP(B11,Upgrade_Params!$A$4:$K$23,7,FALSE)^(C11-1),0)</f>
        <v/>
      </c>
      <c r="G11" s="17">
        <f>SUMIFS($F$4:F11,$B$4:B11,B11)</f>
        <v/>
      </c>
      <c r="H11" s="19">
        <f>IFERROR(E11/F11,0)</f>
        <v/>
      </c>
      <c r="I11" s="20">
        <f>VLOOKUP(B11,Upgrade_Params!$A$4:$K$23,9,FALSE)</f>
        <v/>
      </c>
      <c r="J11" s="20">
        <f>VLOOKUP(B11,Upgrade_Params!$A$4:$K$23,10,FALSE)</f>
        <v/>
      </c>
      <c r="K11" s="26">
        <f>IF(D11&lt;=6,"Starter",IF(D11&lt;=15,"Midgame",IF(D11&lt;=28,"Late Midgame","Endgame")))</f>
        <v/>
      </c>
      <c r="L11" s="18">
        <f>IFERROR(F11/E11*1000,0)</f>
        <v/>
      </c>
    </row>
    <row r="12">
      <c r="A12" s="25">
        <f>VLOOKUP(B12,Upgrade_Params!$A$4:$K$23,2,FALSE)</f>
        <v/>
      </c>
      <c r="B12" s="20" t="inlineStr">
        <is>
          <t>Tap Engine</t>
        </is>
      </c>
      <c r="C12" s="25" t="n">
        <v>9</v>
      </c>
      <c r="D12" s="25">
        <f>VLOOKUP(B12,Upgrade_Params!$A$4:$K$23,3,FALSE)</f>
        <v/>
      </c>
      <c r="E12" s="17">
        <f>ROUND(VLOOKUP(B12,Upgrade_Params!$A$4:$K$23,4,FALSE)*VLOOKUP(B12,Upgrade_Params!$A$4:$K$23,5,FALSE)^(C12-1),0)</f>
        <v/>
      </c>
      <c r="F12" s="17">
        <f>ROUND(VLOOKUP(B12,Upgrade_Params!$A$4:$K$23,6,FALSE)*VLOOKUP(B12,Upgrade_Params!$A$4:$K$23,7,FALSE)^(C12-1),0)</f>
        <v/>
      </c>
      <c r="G12" s="17">
        <f>SUMIFS($F$4:F12,$B$4:B12,B12)</f>
        <v/>
      </c>
      <c r="H12" s="19">
        <f>IFERROR(E12/F12,0)</f>
        <v/>
      </c>
      <c r="I12" s="20">
        <f>VLOOKUP(B12,Upgrade_Params!$A$4:$K$23,9,FALSE)</f>
        <v/>
      </c>
      <c r="J12" s="20">
        <f>VLOOKUP(B12,Upgrade_Params!$A$4:$K$23,10,FALSE)</f>
        <v/>
      </c>
      <c r="K12" s="26">
        <f>IF(D12&lt;=6,"Starter",IF(D12&lt;=15,"Midgame",IF(D12&lt;=28,"Late Midgame","Endgame")))</f>
        <v/>
      </c>
      <c r="L12" s="18">
        <f>IFERROR(F12/E12*1000,0)</f>
        <v/>
      </c>
    </row>
    <row r="13">
      <c r="A13" s="25">
        <f>VLOOKUP(B13,Upgrade_Params!$A$4:$K$23,2,FALSE)</f>
        <v/>
      </c>
      <c r="B13" s="20" t="inlineStr">
        <is>
          <t>Tap Engine</t>
        </is>
      </c>
      <c r="C13" s="25" t="n">
        <v>10</v>
      </c>
      <c r="D13" s="25">
        <f>VLOOKUP(B13,Upgrade_Params!$A$4:$K$23,3,FALSE)</f>
        <v/>
      </c>
      <c r="E13" s="17">
        <f>ROUND(VLOOKUP(B13,Upgrade_Params!$A$4:$K$23,4,FALSE)*VLOOKUP(B13,Upgrade_Params!$A$4:$K$23,5,FALSE)^(C13-1),0)</f>
        <v/>
      </c>
      <c r="F13" s="17">
        <f>ROUND(VLOOKUP(B13,Upgrade_Params!$A$4:$K$23,6,FALSE)*VLOOKUP(B13,Upgrade_Params!$A$4:$K$23,7,FALSE)^(C13-1),0)</f>
        <v/>
      </c>
      <c r="G13" s="17">
        <f>SUMIFS($F$4:F13,$B$4:B13,B13)</f>
        <v/>
      </c>
      <c r="H13" s="19">
        <f>IFERROR(E13/F13,0)</f>
        <v/>
      </c>
      <c r="I13" s="20">
        <f>VLOOKUP(B13,Upgrade_Params!$A$4:$K$23,9,FALSE)</f>
        <v/>
      </c>
      <c r="J13" s="20">
        <f>VLOOKUP(B13,Upgrade_Params!$A$4:$K$23,10,FALSE)</f>
        <v/>
      </c>
      <c r="K13" s="26">
        <f>IF(D13&lt;=6,"Starter",IF(D13&lt;=15,"Midgame",IF(D13&lt;=28,"Late Midgame","Endgame")))</f>
        <v/>
      </c>
      <c r="L13" s="18">
        <f>IFERROR(F13/E13*1000,0)</f>
        <v/>
      </c>
    </row>
    <row r="14">
      <c r="A14" s="25">
        <f>VLOOKUP(B14,Upgrade_Params!$A$4:$K$23,2,FALSE)</f>
        <v/>
      </c>
      <c r="B14" s="20" t="inlineStr">
        <is>
          <t>Tap Engine</t>
        </is>
      </c>
      <c r="C14" s="25" t="n">
        <v>11</v>
      </c>
      <c r="D14" s="25">
        <f>VLOOKUP(B14,Upgrade_Params!$A$4:$K$23,3,FALSE)</f>
        <v/>
      </c>
      <c r="E14" s="17">
        <f>ROUND(VLOOKUP(B14,Upgrade_Params!$A$4:$K$23,4,FALSE)*VLOOKUP(B14,Upgrade_Params!$A$4:$K$23,5,FALSE)^(C14-1),0)</f>
        <v/>
      </c>
      <c r="F14" s="17">
        <f>ROUND(VLOOKUP(B14,Upgrade_Params!$A$4:$K$23,6,FALSE)*VLOOKUP(B14,Upgrade_Params!$A$4:$K$23,7,FALSE)^(C14-1),0)</f>
        <v/>
      </c>
      <c r="G14" s="17">
        <f>SUMIFS($F$4:F14,$B$4:B14,B14)</f>
        <v/>
      </c>
      <c r="H14" s="19">
        <f>IFERROR(E14/F14,0)</f>
        <v/>
      </c>
      <c r="I14" s="20">
        <f>VLOOKUP(B14,Upgrade_Params!$A$4:$K$23,9,FALSE)</f>
        <v/>
      </c>
      <c r="J14" s="20">
        <f>VLOOKUP(B14,Upgrade_Params!$A$4:$K$23,10,FALSE)</f>
        <v/>
      </c>
      <c r="K14" s="26">
        <f>IF(D14&lt;=6,"Starter",IF(D14&lt;=15,"Midgame",IF(D14&lt;=28,"Late Midgame","Endgame")))</f>
        <v/>
      </c>
      <c r="L14" s="18">
        <f>IFERROR(F14/E14*1000,0)</f>
        <v/>
      </c>
    </row>
    <row r="15">
      <c r="A15" s="25">
        <f>VLOOKUP(B15,Upgrade_Params!$A$4:$K$23,2,FALSE)</f>
        <v/>
      </c>
      <c r="B15" s="20" t="inlineStr">
        <is>
          <t>Tap Engine</t>
        </is>
      </c>
      <c r="C15" s="25" t="n">
        <v>12</v>
      </c>
      <c r="D15" s="25">
        <f>VLOOKUP(B15,Upgrade_Params!$A$4:$K$23,3,FALSE)</f>
        <v/>
      </c>
      <c r="E15" s="17">
        <f>ROUND(VLOOKUP(B15,Upgrade_Params!$A$4:$K$23,4,FALSE)*VLOOKUP(B15,Upgrade_Params!$A$4:$K$23,5,FALSE)^(C15-1),0)</f>
        <v/>
      </c>
      <c r="F15" s="17">
        <f>ROUND(VLOOKUP(B15,Upgrade_Params!$A$4:$K$23,6,FALSE)*VLOOKUP(B15,Upgrade_Params!$A$4:$K$23,7,FALSE)^(C15-1),0)</f>
        <v/>
      </c>
      <c r="G15" s="17">
        <f>SUMIFS($F$4:F15,$B$4:B15,B15)</f>
        <v/>
      </c>
      <c r="H15" s="19">
        <f>IFERROR(E15/F15,0)</f>
        <v/>
      </c>
      <c r="I15" s="20">
        <f>VLOOKUP(B15,Upgrade_Params!$A$4:$K$23,9,FALSE)</f>
        <v/>
      </c>
      <c r="J15" s="20">
        <f>VLOOKUP(B15,Upgrade_Params!$A$4:$K$23,10,FALSE)</f>
        <v/>
      </c>
      <c r="K15" s="26">
        <f>IF(D15&lt;=6,"Starter",IF(D15&lt;=15,"Midgame",IF(D15&lt;=28,"Late Midgame","Endgame")))</f>
        <v/>
      </c>
      <c r="L15" s="18">
        <f>IFERROR(F15/E15*1000,0)</f>
        <v/>
      </c>
    </row>
    <row r="16">
      <c r="A16" s="25">
        <f>VLOOKUP(B16,Upgrade_Params!$A$4:$K$23,2,FALSE)</f>
        <v/>
      </c>
      <c r="B16" s="20" t="inlineStr">
        <is>
          <t>Tap Engine</t>
        </is>
      </c>
      <c r="C16" s="25" t="n">
        <v>13</v>
      </c>
      <c r="D16" s="25">
        <f>VLOOKUP(B16,Upgrade_Params!$A$4:$K$23,3,FALSE)</f>
        <v/>
      </c>
      <c r="E16" s="17">
        <f>ROUND(VLOOKUP(B16,Upgrade_Params!$A$4:$K$23,4,FALSE)*VLOOKUP(B16,Upgrade_Params!$A$4:$K$23,5,FALSE)^(C16-1),0)</f>
        <v/>
      </c>
      <c r="F16" s="17">
        <f>ROUND(VLOOKUP(B16,Upgrade_Params!$A$4:$K$23,6,FALSE)*VLOOKUP(B16,Upgrade_Params!$A$4:$K$23,7,FALSE)^(C16-1),0)</f>
        <v/>
      </c>
      <c r="G16" s="17">
        <f>SUMIFS($F$4:F16,$B$4:B16,B16)</f>
        <v/>
      </c>
      <c r="H16" s="19">
        <f>IFERROR(E16/F16,0)</f>
        <v/>
      </c>
      <c r="I16" s="20">
        <f>VLOOKUP(B16,Upgrade_Params!$A$4:$K$23,9,FALSE)</f>
        <v/>
      </c>
      <c r="J16" s="20">
        <f>VLOOKUP(B16,Upgrade_Params!$A$4:$K$23,10,FALSE)</f>
        <v/>
      </c>
      <c r="K16" s="26">
        <f>IF(D16&lt;=6,"Starter",IF(D16&lt;=15,"Midgame",IF(D16&lt;=28,"Late Midgame","Endgame")))</f>
        <v/>
      </c>
      <c r="L16" s="18">
        <f>IFERROR(F16/E16*1000,0)</f>
        <v/>
      </c>
    </row>
    <row r="17">
      <c r="A17" s="25">
        <f>VLOOKUP(B17,Upgrade_Params!$A$4:$K$23,2,FALSE)</f>
        <v/>
      </c>
      <c r="B17" s="20" t="inlineStr">
        <is>
          <t>Tap Engine</t>
        </is>
      </c>
      <c r="C17" s="25" t="n">
        <v>14</v>
      </c>
      <c r="D17" s="25">
        <f>VLOOKUP(B17,Upgrade_Params!$A$4:$K$23,3,FALSE)</f>
        <v/>
      </c>
      <c r="E17" s="17">
        <f>ROUND(VLOOKUP(B17,Upgrade_Params!$A$4:$K$23,4,FALSE)*VLOOKUP(B17,Upgrade_Params!$A$4:$K$23,5,FALSE)^(C17-1),0)</f>
        <v/>
      </c>
      <c r="F17" s="17">
        <f>ROUND(VLOOKUP(B17,Upgrade_Params!$A$4:$K$23,6,FALSE)*VLOOKUP(B17,Upgrade_Params!$A$4:$K$23,7,FALSE)^(C17-1),0)</f>
        <v/>
      </c>
      <c r="G17" s="17">
        <f>SUMIFS($F$4:F17,$B$4:B17,B17)</f>
        <v/>
      </c>
      <c r="H17" s="19">
        <f>IFERROR(E17/F17,0)</f>
        <v/>
      </c>
      <c r="I17" s="20">
        <f>VLOOKUP(B17,Upgrade_Params!$A$4:$K$23,9,FALSE)</f>
        <v/>
      </c>
      <c r="J17" s="20">
        <f>VLOOKUP(B17,Upgrade_Params!$A$4:$K$23,10,FALSE)</f>
        <v/>
      </c>
      <c r="K17" s="26">
        <f>IF(D17&lt;=6,"Starter",IF(D17&lt;=15,"Midgame",IF(D17&lt;=28,"Late Midgame","Endgame")))</f>
        <v/>
      </c>
      <c r="L17" s="18">
        <f>IFERROR(F17/E17*1000,0)</f>
        <v/>
      </c>
    </row>
    <row r="18">
      <c r="A18" s="25">
        <f>VLOOKUP(B18,Upgrade_Params!$A$4:$K$23,2,FALSE)</f>
        <v/>
      </c>
      <c r="B18" s="20" t="inlineStr">
        <is>
          <t>Tap Engine</t>
        </is>
      </c>
      <c r="C18" s="25" t="n">
        <v>15</v>
      </c>
      <c r="D18" s="25">
        <f>VLOOKUP(B18,Upgrade_Params!$A$4:$K$23,3,FALSE)</f>
        <v/>
      </c>
      <c r="E18" s="17">
        <f>ROUND(VLOOKUP(B18,Upgrade_Params!$A$4:$K$23,4,FALSE)*VLOOKUP(B18,Upgrade_Params!$A$4:$K$23,5,FALSE)^(C18-1),0)</f>
        <v/>
      </c>
      <c r="F18" s="17">
        <f>ROUND(VLOOKUP(B18,Upgrade_Params!$A$4:$K$23,6,FALSE)*VLOOKUP(B18,Upgrade_Params!$A$4:$K$23,7,FALSE)^(C18-1),0)</f>
        <v/>
      </c>
      <c r="G18" s="17">
        <f>SUMIFS($F$4:F18,$B$4:B18,B18)</f>
        <v/>
      </c>
      <c r="H18" s="19">
        <f>IFERROR(E18/F18,0)</f>
        <v/>
      </c>
      <c r="I18" s="20">
        <f>VLOOKUP(B18,Upgrade_Params!$A$4:$K$23,9,FALSE)</f>
        <v/>
      </c>
      <c r="J18" s="20">
        <f>VLOOKUP(B18,Upgrade_Params!$A$4:$K$23,10,FALSE)</f>
        <v/>
      </c>
      <c r="K18" s="26">
        <f>IF(D18&lt;=6,"Starter",IF(D18&lt;=15,"Midgame",IF(D18&lt;=28,"Late Midgame","Endgame")))</f>
        <v/>
      </c>
      <c r="L18" s="18">
        <f>IFERROR(F18/E18*1000,0)</f>
        <v/>
      </c>
    </row>
    <row r="19">
      <c r="A19" s="25">
        <f>VLOOKUP(B19,Upgrade_Params!$A$4:$K$23,2,FALSE)</f>
        <v/>
      </c>
      <c r="B19" s="20" t="inlineStr">
        <is>
          <t>GPU Cluster</t>
        </is>
      </c>
      <c r="C19" s="25" t="n">
        <v>1</v>
      </c>
      <c r="D19" s="25">
        <f>VLOOKUP(B19,Upgrade_Params!$A$4:$K$23,3,FALSE)</f>
        <v/>
      </c>
      <c r="E19" s="17">
        <f>ROUND(VLOOKUP(B19,Upgrade_Params!$A$4:$K$23,4,FALSE)*VLOOKUP(B19,Upgrade_Params!$A$4:$K$23,5,FALSE)^(C19-1),0)</f>
        <v/>
      </c>
      <c r="F19" s="17">
        <f>ROUND(VLOOKUP(B19,Upgrade_Params!$A$4:$K$23,6,FALSE)*VLOOKUP(B19,Upgrade_Params!$A$4:$K$23,7,FALSE)^(C19-1),0)</f>
        <v/>
      </c>
      <c r="G19" s="17">
        <f>SUMIFS($F$4:F19,$B$4:B19,B19)</f>
        <v/>
      </c>
      <c r="H19" s="19">
        <f>IFERROR(E19/F19,0)</f>
        <v/>
      </c>
      <c r="I19" s="20">
        <f>VLOOKUP(B19,Upgrade_Params!$A$4:$K$23,9,FALSE)</f>
        <v/>
      </c>
      <c r="J19" s="20">
        <f>VLOOKUP(B19,Upgrade_Params!$A$4:$K$23,10,FALSE)</f>
        <v/>
      </c>
      <c r="K19" s="26">
        <f>IF(D19&lt;=6,"Starter",IF(D19&lt;=15,"Midgame",IF(D19&lt;=28,"Late Midgame","Endgame")))</f>
        <v/>
      </c>
      <c r="L19" s="18">
        <f>IFERROR(F19/E19*1000,0)</f>
        <v/>
      </c>
    </row>
    <row r="20">
      <c r="A20" s="25">
        <f>VLOOKUP(B20,Upgrade_Params!$A$4:$K$23,2,FALSE)</f>
        <v/>
      </c>
      <c r="B20" s="20" t="inlineStr">
        <is>
          <t>GPU Cluster</t>
        </is>
      </c>
      <c r="C20" s="25" t="n">
        <v>2</v>
      </c>
      <c r="D20" s="25">
        <f>VLOOKUP(B20,Upgrade_Params!$A$4:$K$23,3,FALSE)</f>
        <v/>
      </c>
      <c r="E20" s="17">
        <f>ROUND(VLOOKUP(B20,Upgrade_Params!$A$4:$K$23,4,FALSE)*VLOOKUP(B20,Upgrade_Params!$A$4:$K$23,5,FALSE)^(C20-1),0)</f>
        <v/>
      </c>
      <c r="F20" s="17">
        <f>ROUND(VLOOKUP(B20,Upgrade_Params!$A$4:$K$23,6,FALSE)*VLOOKUP(B20,Upgrade_Params!$A$4:$K$23,7,FALSE)^(C20-1),0)</f>
        <v/>
      </c>
      <c r="G20" s="17">
        <f>SUMIFS($F$4:F20,$B$4:B20,B20)</f>
        <v/>
      </c>
      <c r="H20" s="19">
        <f>IFERROR(E20/F20,0)</f>
        <v/>
      </c>
      <c r="I20" s="20">
        <f>VLOOKUP(B20,Upgrade_Params!$A$4:$K$23,9,FALSE)</f>
        <v/>
      </c>
      <c r="J20" s="20">
        <f>VLOOKUP(B20,Upgrade_Params!$A$4:$K$23,10,FALSE)</f>
        <v/>
      </c>
      <c r="K20" s="26">
        <f>IF(D20&lt;=6,"Starter",IF(D20&lt;=15,"Midgame",IF(D20&lt;=28,"Late Midgame","Endgame")))</f>
        <v/>
      </c>
      <c r="L20" s="18">
        <f>IFERROR(F20/E20*1000,0)</f>
        <v/>
      </c>
    </row>
    <row r="21">
      <c r="A21" s="25">
        <f>VLOOKUP(B21,Upgrade_Params!$A$4:$K$23,2,FALSE)</f>
        <v/>
      </c>
      <c r="B21" s="20" t="inlineStr">
        <is>
          <t>GPU Cluster</t>
        </is>
      </c>
      <c r="C21" s="25" t="n">
        <v>3</v>
      </c>
      <c r="D21" s="25">
        <f>VLOOKUP(B21,Upgrade_Params!$A$4:$K$23,3,FALSE)</f>
        <v/>
      </c>
      <c r="E21" s="17">
        <f>ROUND(VLOOKUP(B21,Upgrade_Params!$A$4:$K$23,4,FALSE)*VLOOKUP(B21,Upgrade_Params!$A$4:$K$23,5,FALSE)^(C21-1),0)</f>
        <v/>
      </c>
      <c r="F21" s="17">
        <f>ROUND(VLOOKUP(B21,Upgrade_Params!$A$4:$K$23,6,FALSE)*VLOOKUP(B21,Upgrade_Params!$A$4:$K$23,7,FALSE)^(C21-1),0)</f>
        <v/>
      </c>
      <c r="G21" s="17">
        <f>SUMIFS($F$4:F21,$B$4:B21,B21)</f>
        <v/>
      </c>
      <c r="H21" s="19">
        <f>IFERROR(E21/F21,0)</f>
        <v/>
      </c>
      <c r="I21" s="20">
        <f>VLOOKUP(B21,Upgrade_Params!$A$4:$K$23,9,FALSE)</f>
        <v/>
      </c>
      <c r="J21" s="20">
        <f>VLOOKUP(B21,Upgrade_Params!$A$4:$K$23,10,FALSE)</f>
        <v/>
      </c>
      <c r="K21" s="26">
        <f>IF(D21&lt;=6,"Starter",IF(D21&lt;=15,"Midgame",IF(D21&lt;=28,"Late Midgame","Endgame")))</f>
        <v/>
      </c>
      <c r="L21" s="18">
        <f>IFERROR(F21/E21*1000,0)</f>
        <v/>
      </c>
    </row>
    <row r="22">
      <c r="A22" s="25">
        <f>VLOOKUP(B22,Upgrade_Params!$A$4:$K$23,2,FALSE)</f>
        <v/>
      </c>
      <c r="B22" s="20" t="inlineStr">
        <is>
          <t>GPU Cluster</t>
        </is>
      </c>
      <c r="C22" s="25" t="n">
        <v>4</v>
      </c>
      <c r="D22" s="25">
        <f>VLOOKUP(B22,Upgrade_Params!$A$4:$K$23,3,FALSE)</f>
        <v/>
      </c>
      <c r="E22" s="17">
        <f>ROUND(VLOOKUP(B22,Upgrade_Params!$A$4:$K$23,4,FALSE)*VLOOKUP(B22,Upgrade_Params!$A$4:$K$23,5,FALSE)^(C22-1),0)</f>
        <v/>
      </c>
      <c r="F22" s="17">
        <f>ROUND(VLOOKUP(B22,Upgrade_Params!$A$4:$K$23,6,FALSE)*VLOOKUP(B22,Upgrade_Params!$A$4:$K$23,7,FALSE)^(C22-1),0)</f>
        <v/>
      </c>
      <c r="G22" s="17">
        <f>SUMIFS($F$4:F22,$B$4:B22,B22)</f>
        <v/>
      </c>
      <c r="H22" s="19">
        <f>IFERROR(E22/F22,0)</f>
        <v/>
      </c>
      <c r="I22" s="20">
        <f>VLOOKUP(B22,Upgrade_Params!$A$4:$K$23,9,FALSE)</f>
        <v/>
      </c>
      <c r="J22" s="20">
        <f>VLOOKUP(B22,Upgrade_Params!$A$4:$K$23,10,FALSE)</f>
        <v/>
      </c>
      <c r="K22" s="26">
        <f>IF(D22&lt;=6,"Starter",IF(D22&lt;=15,"Midgame",IF(D22&lt;=28,"Late Midgame","Endgame")))</f>
        <v/>
      </c>
      <c r="L22" s="18">
        <f>IFERROR(F22/E22*1000,0)</f>
        <v/>
      </c>
    </row>
    <row r="23">
      <c r="A23" s="25">
        <f>VLOOKUP(B23,Upgrade_Params!$A$4:$K$23,2,FALSE)</f>
        <v/>
      </c>
      <c r="B23" s="20" t="inlineStr">
        <is>
          <t>GPU Cluster</t>
        </is>
      </c>
      <c r="C23" s="25" t="n">
        <v>5</v>
      </c>
      <c r="D23" s="25">
        <f>VLOOKUP(B23,Upgrade_Params!$A$4:$K$23,3,FALSE)</f>
        <v/>
      </c>
      <c r="E23" s="17">
        <f>ROUND(VLOOKUP(B23,Upgrade_Params!$A$4:$K$23,4,FALSE)*VLOOKUP(B23,Upgrade_Params!$A$4:$K$23,5,FALSE)^(C23-1),0)</f>
        <v/>
      </c>
      <c r="F23" s="17">
        <f>ROUND(VLOOKUP(B23,Upgrade_Params!$A$4:$K$23,6,FALSE)*VLOOKUP(B23,Upgrade_Params!$A$4:$K$23,7,FALSE)^(C23-1),0)</f>
        <v/>
      </c>
      <c r="G23" s="17">
        <f>SUMIFS($F$4:F23,$B$4:B23,B23)</f>
        <v/>
      </c>
      <c r="H23" s="19">
        <f>IFERROR(E23/F23,0)</f>
        <v/>
      </c>
      <c r="I23" s="20">
        <f>VLOOKUP(B23,Upgrade_Params!$A$4:$K$23,9,FALSE)</f>
        <v/>
      </c>
      <c r="J23" s="20">
        <f>VLOOKUP(B23,Upgrade_Params!$A$4:$K$23,10,FALSE)</f>
        <v/>
      </c>
      <c r="K23" s="26">
        <f>IF(D23&lt;=6,"Starter",IF(D23&lt;=15,"Midgame",IF(D23&lt;=28,"Late Midgame","Endgame")))</f>
        <v/>
      </c>
      <c r="L23" s="18">
        <f>IFERROR(F23/E23*1000,0)</f>
        <v/>
      </c>
    </row>
    <row r="24">
      <c r="A24" s="25">
        <f>VLOOKUP(B24,Upgrade_Params!$A$4:$K$23,2,FALSE)</f>
        <v/>
      </c>
      <c r="B24" s="20" t="inlineStr">
        <is>
          <t>GPU Cluster</t>
        </is>
      </c>
      <c r="C24" s="25" t="n">
        <v>6</v>
      </c>
      <c r="D24" s="25">
        <f>VLOOKUP(B24,Upgrade_Params!$A$4:$K$23,3,FALSE)</f>
        <v/>
      </c>
      <c r="E24" s="17">
        <f>ROUND(VLOOKUP(B24,Upgrade_Params!$A$4:$K$23,4,FALSE)*VLOOKUP(B24,Upgrade_Params!$A$4:$K$23,5,FALSE)^(C24-1),0)</f>
        <v/>
      </c>
      <c r="F24" s="17">
        <f>ROUND(VLOOKUP(B24,Upgrade_Params!$A$4:$K$23,6,FALSE)*VLOOKUP(B24,Upgrade_Params!$A$4:$K$23,7,FALSE)^(C24-1),0)</f>
        <v/>
      </c>
      <c r="G24" s="17">
        <f>SUMIFS($F$4:F24,$B$4:B24,B24)</f>
        <v/>
      </c>
      <c r="H24" s="19">
        <f>IFERROR(E24/F24,0)</f>
        <v/>
      </c>
      <c r="I24" s="20">
        <f>VLOOKUP(B24,Upgrade_Params!$A$4:$K$23,9,FALSE)</f>
        <v/>
      </c>
      <c r="J24" s="20">
        <f>VLOOKUP(B24,Upgrade_Params!$A$4:$K$23,10,FALSE)</f>
        <v/>
      </c>
      <c r="K24" s="26">
        <f>IF(D24&lt;=6,"Starter",IF(D24&lt;=15,"Midgame",IF(D24&lt;=28,"Late Midgame","Endgame")))</f>
        <v/>
      </c>
      <c r="L24" s="18">
        <f>IFERROR(F24/E24*1000,0)</f>
        <v/>
      </c>
    </row>
    <row r="25">
      <c r="A25" s="25">
        <f>VLOOKUP(B25,Upgrade_Params!$A$4:$K$23,2,FALSE)</f>
        <v/>
      </c>
      <c r="B25" s="20" t="inlineStr">
        <is>
          <t>GPU Cluster</t>
        </is>
      </c>
      <c r="C25" s="25" t="n">
        <v>7</v>
      </c>
      <c r="D25" s="25">
        <f>VLOOKUP(B25,Upgrade_Params!$A$4:$K$23,3,FALSE)</f>
        <v/>
      </c>
      <c r="E25" s="17">
        <f>ROUND(VLOOKUP(B25,Upgrade_Params!$A$4:$K$23,4,FALSE)*VLOOKUP(B25,Upgrade_Params!$A$4:$K$23,5,FALSE)^(C25-1),0)</f>
        <v/>
      </c>
      <c r="F25" s="17">
        <f>ROUND(VLOOKUP(B25,Upgrade_Params!$A$4:$K$23,6,FALSE)*VLOOKUP(B25,Upgrade_Params!$A$4:$K$23,7,FALSE)^(C25-1),0)</f>
        <v/>
      </c>
      <c r="G25" s="17">
        <f>SUMIFS($F$4:F25,$B$4:B25,B25)</f>
        <v/>
      </c>
      <c r="H25" s="19">
        <f>IFERROR(E25/F25,0)</f>
        <v/>
      </c>
      <c r="I25" s="20">
        <f>VLOOKUP(B25,Upgrade_Params!$A$4:$K$23,9,FALSE)</f>
        <v/>
      </c>
      <c r="J25" s="20">
        <f>VLOOKUP(B25,Upgrade_Params!$A$4:$K$23,10,FALSE)</f>
        <v/>
      </c>
      <c r="K25" s="26">
        <f>IF(D25&lt;=6,"Starter",IF(D25&lt;=15,"Midgame",IF(D25&lt;=28,"Late Midgame","Endgame")))</f>
        <v/>
      </c>
      <c r="L25" s="18">
        <f>IFERROR(F25/E25*1000,0)</f>
        <v/>
      </c>
    </row>
    <row r="26">
      <c r="A26" s="25">
        <f>VLOOKUP(B26,Upgrade_Params!$A$4:$K$23,2,FALSE)</f>
        <v/>
      </c>
      <c r="B26" s="20" t="inlineStr">
        <is>
          <t>GPU Cluster</t>
        </is>
      </c>
      <c r="C26" s="25" t="n">
        <v>8</v>
      </c>
      <c r="D26" s="25">
        <f>VLOOKUP(B26,Upgrade_Params!$A$4:$K$23,3,FALSE)</f>
        <v/>
      </c>
      <c r="E26" s="17">
        <f>ROUND(VLOOKUP(B26,Upgrade_Params!$A$4:$K$23,4,FALSE)*VLOOKUP(B26,Upgrade_Params!$A$4:$K$23,5,FALSE)^(C26-1),0)</f>
        <v/>
      </c>
      <c r="F26" s="17">
        <f>ROUND(VLOOKUP(B26,Upgrade_Params!$A$4:$K$23,6,FALSE)*VLOOKUP(B26,Upgrade_Params!$A$4:$K$23,7,FALSE)^(C26-1),0)</f>
        <v/>
      </c>
      <c r="G26" s="17">
        <f>SUMIFS($F$4:F26,$B$4:B26,B26)</f>
        <v/>
      </c>
      <c r="H26" s="19">
        <f>IFERROR(E26/F26,0)</f>
        <v/>
      </c>
      <c r="I26" s="20">
        <f>VLOOKUP(B26,Upgrade_Params!$A$4:$K$23,9,FALSE)</f>
        <v/>
      </c>
      <c r="J26" s="20">
        <f>VLOOKUP(B26,Upgrade_Params!$A$4:$K$23,10,FALSE)</f>
        <v/>
      </c>
      <c r="K26" s="26">
        <f>IF(D26&lt;=6,"Starter",IF(D26&lt;=15,"Midgame",IF(D26&lt;=28,"Late Midgame","Endgame")))</f>
        <v/>
      </c>
      <c r="L26" s="18">
        <f>IFERROR(F26/E26*1000,0)</f>
        <v/>
      </c>
    </row>
    <row r="27">
      <c r="A27" s="25">
        <f>VLOOKUP(B27,Upgrade_Params!$A$4:$K$23,2,FALSE)</f>
        <v/>
      </c>
      <c r="B27" s="20" t="inlineStr">
        <is>
          <t>GPU Cluster</t>
        </is>
      </c>
      <c r="C27" s="25" t="n">
        <v>9</v>
      </c>
      <c r="D27" s="25">
        <f>VLOOKUP(B27,Upgrade_Params!$A$4:$K$23,3,FALSE)</f>
        <v/>
      </c>
      <c r="E27" s="17">
        <f>ROUND(VLOOKUP(B27,Upgrade_Params!$A$4:$K$23,4,FALSE)*VLOOKUP(B27,Upgrade_Params!$A$4:$K$23,5,FALSE)^(C27-1),0)</f>
        <v/>
      </c>
      <c r="F27" s="17">
        <f>ROUND(VLOOKUP(B27,Upgrade_Params!$A$4:$K$23,6,FALSE)*VLOOKUP(B27,Upgrade_Params!$A$4:$K$23,7,FALSE)^(C27-1),0)</f>
        <v/>
      </c>
      <c r="G27" s="17">
        <f>SUMIFS($F$4:F27,$B$4:B27,B27)</f>
        <v/>
      </c>
      <c r="H27" s="19">
        <f>IFERROR(E27/F27,0)</f>
        <v/>
      </c>
      <c r="I27" s="20">
        <f>VLOOKUP(B27,Upgrade_Params!$A$4:$K$23,9,FALSE)</f>
        <v/>
      </c>
      <c r="J27" s="20">
        <f>VLOOKUP(B27,Upgrade_Params!$A$4:$K$23,10,FALSE)</f>
        <v/>
      </c>
      <c r="K27" s="26">
        <f>IF(D27&lt;=6,"Starter",IF(D27&lt;=15,"Midgame",IF(D27&lt;=28,"Late Midgame","Endgame")))</f>
        <v/>
      </c>
      <c r="L27" s="18">
        <f>IFERROR(F27/E27*1000,0)</f>
        <v/>
      </c>
    </row>
    <row r="28">
      <c r="A28" s="25">
        <f>VLOOKUP(B28,Upgrade_Params!$A$4:$K$23,2,FALSE)</f>
        <v/>
      </c>
      <c r="B28" s="20" t="inlineStr">
        <is>
          <t>GPU Cluster</t>
        </is>
      </c>
      <c r="C28" s="25" t="n">
        <v>10</v>
      </c>
      <c r="D28" s="25">
        <f>VLOOKUP(B28,Upgrade_Params!$A$4:$K$23,3,FALSE)</f>
        <v/>
      </c>
      <c r="E28" s="17">
        <f>ROUND(VLOOKUP(B28,Upgrade_Params!$A$4:$K$23,4,FALSE)*VLOOKUP(B28,Upgrade_Params!$A$4:$K$23,5,FALSE)^(C28-1),0)</f>
        <v/>
      </c>
      <c r="F28" s="17">
        <f>ROUND(VLOOKUP(B28,Upgrade_Params!$A$4:$K$23,6,FALSE)*VLOOKUP(B28,Upgrade_Params!$A$4:$K$23,7,FALSE)^(C28-1),0)</f>
        <v/>
      </c>
      <c r="G28" s="17">
        <f>SUMIFS($F$4:F28,$B$4:B28,B28)</f>
        <v/>
      </c>
      <c r="H28" s="19">
        <f>IFERROR(E28/F28,0)</f>
        <v/>
      </c>
      <c r="I28" s="20">
        <f>VLOOKUP(B28,Upgrade_Params!$A$4:$K$23,9,FALSE)</f>
        <v/>
      </c>
      <c r="J28" s="20">
        <f>VLOOKUP(B28,Upgrade_Params!$A$4:$K$23,10,FALSE)</f>
        <v/>
      </c>
      <c r="K28" s="26">
        <f>IF(D28&lt;=6,"Starter",IF(D28&lt;=15,"Midgame",IF(D28&lt;=28,"Late Midgame","Endgame")))</f>
        <v/>
      </c>
      <c r="L28" s="18">
        <f>IFERROR(F28/E28*1000,0)</f>
        <v/>
      </c>
    </row>
    <row r="29">
      <c r="A29" s="25">
        <f>VLOOKUP(B29,Upgrade_Params!$A$4:$K$23,2,FALSE)</f>
        <v/>
      </c>
      <c r="B29" s="20" t="inlineStr">
        <is>
          <t>GPU Cluster</t>
        </is>
      </c>
      <c r="C29" s="25" t="n">
        <v>11</v>
      </c>
      <c r="D29" s="25">
        <f>VLOOKUP(B29,Upgrade_Params!$A$4:$K$23,3,FALSE)</f>
        <v/>
      </c>
      <c r="E29" s="17">
        <f>ROUND(VLOOKUP(B29,Upgrade_Params!$A$4:$K$23,4,FALSE)*VLOOKUP(B29,Upgrade_Params!$A$4:$K$23,5,FALSE)^(C29-1),0)</f>
        <v/>
      </c>
      <c r="F29" s="17">
        <f>ROUND(VLOOKUP(B29,Upgrade_Params!$A$4:$K$23,6,FALSE)*VLOOKUP(B29,Upgrade_Params!$A$4:$K$23,7,FALSE)^(C29-1),0)</f>
        <v/>
      </c>
      <c r="G29" s="17">
        <f>SUMIFS($F$4:F29,$B$4:B29,B29)</f>
        <v/>
      </c>
      <c r="H29" s="19">
        <f>IFERROR(E29/F29,0)</f>
        <v/>
      </c>
      <c r="I29" s="20">
        <f>VLOOKUP(B29,Upgrade_Params!$A$4:$K$23,9,FALSE)</f>
        <v/>
      </c>
      <c r="J29" s="20">
        <f>VLOOKUP(B29,Upgrade_Params!$A$4:$K$23,10,FALSE)</f>
        <v/>
      </c>
      <c r="K29" s="26">
        <f>IF(D29&lt;=6,"Starter",IF(D29&lt;=15,"Midgame",IF(D29&lt;=28,"Late Midgame","Endgame")))</f>
        <v/>
      </c>
      <c r="L29" s="18">
        <f>IFERROR(F29/E29*1000,0)</f>
        <v/>
      </c>
    </row>
    <row r="30">
      <c r="A30" s="25">
        <f>VLOOKUP(B30,Upgrade_Params!$A$4:$K$23,2,FALSE)</f>
        <v/>
      </c>
      <c r="B30" s="20" t="inlineStr">
        <is>
          <t>GPU Cluster</t>
        </is>
      </c>
      <c r="C30" s="25" t="n">
        <v>12</v>
      </c>
      <c r="D30" s="25">
        <f>VLOOKUP(B30,Upgrade_Params!$A$4:$K$23,3,FALSE)</f>
        <v/>
      </c>
      <c r="E30" s="17">
        <f>ROUND(VLOOKUP(B30,Upgrade_Params!$A$4:$K$23,4,FALSE)*VLOOKUP(B30,Upgrade_Params!$A$4:$K$23,5,FALSE)^(C30-1),0)</f>
        <v/>
      </c>
      <c r="F30" s="17">
        <f>ROUND(VLOOKUP(B30,Upgrade_Params!$A$4:$K$23,6,FALSE)*VLOOKUP(B30,Upgrade_Params!$A$4:$K$23,7,FALSE)^(C30-1),0)</f>
        <v/>
      </c>
      <c r="G30" s="17">
        <f>SUMIFS($F$4:F30,$B$4:B30,B30)</f>
        <v/>
      </c>
      <c r="H30" s="19">
        <f>IFERROR(E30/F30,0)</f>
        <v/>
      </c>
      <c r="I30" s="20">
        <f>VLOOKUP(B30,Upgrade_Params!$A$4:$K$23,9,FALSE)</f>
        <v/>
      </c>
      <c r="J30" s="20">
        <f>VLOOKUP(B30,Upgrade_Params!$A$4:$K$23,10,FALSE)</f>
        <v/>
      </c>
      <c r="K30" s="26">
        <f>IF(D30&lt;=6,"Starter",IF(D30&lt;=15,"Midgame",IF(D30&lt;=28,"Late Midgame","Endgame")))</f>
        <v/>
      </c>
      <c r="L30" s="18">
        <f>IFERROR(F30/E30*1000,0)</f>
        <v/>
      </c>
    </row>
    <row r="31">
      <c r="A31" s="25">
        <f>VLOOKUP(B31,Upgrade_Params!$A$4:$K$23,2,FALSE)</f>
        <v/>
      </c>
      <c r="B31" s="20" t="inlineStr">
        <is>
          <t>GPU Cluster</t>
        </is>
      </c>
      <c r="C31" s="25" t="n">
        <v>13</v>
      </c>
      <c r="D31" s="25">
        <f>VLOOKUP(B31,Upgrade_Params!$A$4:$K$23,3,FALSE)</f>
        <v/>
      </c>
      <c r="E31" s="17">
        <f>ROUND(VLOOKUP(B31,Upgrade_Params!$A$4:$K$23,4,FALSE)*VLOOKUP(B31,Upgrade_Params!$A$4:$K$23,5,FALSE)^(C31-1),0)</f>
        <v/>
      </c>
      <c r="F31" s="17">
        <f>ROUND(VLOOKUP(B31,Upgrade_Params!$A$4:$K$23,6,FALSE)*VLOOKUP(B31,Upgrade_Params!$A$4:$K$23,7,FALSE)^(C31-1),0)</f>
        <v/>
      </c>
      <c r="G31" s="17">
        <f>SUMIFS($F$4:F31,$B$4:B31,B31)</f>
        <v/>
      </c>
      <c r="H31" s="19">
        <f>IFERROR(E31/F31,0)</f>
        <v/>
      </c>
      <c r="I31" s="20">
        <f>VLOOKUP(B31,Upgrade_Params!$A$4:$K$23,9,FALSE)</f>
        <v/>
      </c>
      <c r="J31" s="20">
        <f>VLOOKUP(B31,Upgrade_Params!$A$4:$K$23,10,FALSE)</f>
        <v/>
      </c>
      <c r="K31" s="26">
        <f>IF(D31&lt;=6,"Starter",IF(D31&lt;=15,"Midgame",IF(D31&lt;=28,"Late Midgame","Endgame")))</f>
        <v/>
      </c>
      <c r="L31" s="18">
        <f>IFERROR(F31/E31*1000,0)</f>
        <v/>
      </c>
    </row>
    <row r="32">
      <c r="A32" s="25">
        <f>VLOOKUP(B32,Upgrade_Params!$A$4:$K$23,2,FALSE)</f>
        <v/>
      </c>
      <c r="B32" s="20" t="inlineStr">
        <is>
          <t>GPU Cluster</t>
        </is>
      </c>
      <c r="C32" s="25" t="n">
        <v>14</v>
      </c>
      <c r="D32" s="25">
        <f>VLOOKUP(B32,Upgrade_Params!$A$4:$K$23,3,FALSE)</f>
        <v/>
      </c>
      <c r="E32" s="17">
        <f>ROUND(VLOOKUP(B32,Upgrade_Params!$A$4:$K$23,4,FALSE)*VLOOKUP(B32,Upgrade_Params!$A$4:$K$23,5,FALSE)^(C32-1),0)</f>
        <v/>
      </c>
      <c r="F32" s="17">
        <f>ROUND(VLOOKUP(B32,Upgrade_Params!$A$4:$K$23,6,FALSE)*VLOOKUP(B32,Upgrade_Params!$A$4:$K$23,7,FALSE)^(C32-1),0)</f>
        <v/>
      </c>
      <c r="G32" s="17">
        <f>SUMIFS($F$4:F32,$B$4:B32,B32)</f>
        <v/>
      </c>
      <c r="H32" s="19">
        <f>IFERROR(E32/F32,0)</f>
        <v/>
      </c>
      <c r="I32" s="20">
        <f>VLOOKUP(B32,Upgrade_Params!$A$4:$K$23,9,FALSE)</f>
        <v/>
      </c>
      <c r="J32" s="20">
        <f>VLOOKUP(B32,Upgrade_Params!$A$4:$K$23,10,FALSE)</f>
        <v/>
      </c>
      <c r="K32" s="26">
        <f>IF(D32&lt;=6,"Starter",IF(D32&lt;=15,"Midgame",IF(D32&lt;=28,"Late Midgame","Endgame")))</f>
        <v/>
      </c>
      <c r="L32" s="18">
        <f>IFERROR(F32/E32*1000,0)</f>
        <v/>
      </c>
    </row>
    <row r="33">
      <c r="A33" s="25">
        <f>VLOOKUP(B33,Upgrade_Params!$A$4:$K$23,2,FALSE)</f>
        <v/>
      </c>
      <c r="B33" s="20" t="inlineStr">
        <is>
          <t>GPU Cluster</t>
        </is>
      </c>
      <c r="C33" s="25" t="n">
        <v>15</v>
      </c>
      <c r="D33" s="25">
        <f>VLOOKUP(B33,Upgrade_Params!$A$4:$K$23,3,FALSE)</f>
        <v/>
      </c>
      <c r="E33" s="17">
        <f>ROUND(VLOOKUP(B33,Upgrade_Params!$A$4:$K$23,4,FALSE)*VLOOKUP(B33,Upgrade_Params!$A$4:$K$23,5,FALSE)^(C33-1),0)</f>
        <v/>
      </c>
      <c r="F33" s="17">
        <f>ROUND(VLOOKUP(B33,Upgrade_Params!$A$4:$K$23,6,FALSE)*VLOOKUP(B33,Upgrade_Params!$A$4:$K$23,7,FALSE)^(C33-1),0)</f>
        <v/>
      </c>
      <c r="G33" s="17">
        <f>SUMIFS($F$4:F33,$B$4:B33,B33)</f>
        <v/>
      </c>
      <c r="H33" s="19">
        <f>IFERROR(E33/F33,0)</f>
        <v/>
      </c>
      <c r="I33" s="20">
        <f>VLOOKUP(B33,Upgrade_Params!$A$4:$K$23,9,FALSE)</f>
        <v/>
      </c>
      <c r="J33" s="20">
        <f>VLOOKUP(B33,Upgrade_Params!$A$4:$K$23,10,FALSE)</f>
        <v/>
      </c>
      <c r="K33" s="26">
        <f>IF(D33&lt;=6,"Starter",IF(D33&lt;=15,"Midgame",IF(D33&lt;=28,"Late Midgame","Endgame")))</f>
        <v/>
      </c>
      <c r="L33" s="18">
        <f>IFERROR(F33/E33*1000,0)</f>
        <v/>
      </c>
    </row>
    <row r="34">
      <c r="A34" s="25">
        <f>VLOOKUP(B34,Upgrade_Params!$A$4:$K$23,2,FALSE)</f>
        <v/>
      </c>
      <c r="B34" s="20" t="inlineStr">
        <is>
          <t>Referral Hub</t>
        </is>
      </c>
      <c r="C34" s="25" t="n">
        <v>1</v>
      </c>
      <c r="D34" s="25">
        <f>VLOOKUP(B34,Upgrade_Params!$A$4:$K$23,3,FALSE)</f>
        <v/>
      </c>
      <c r="E34" s="17">
        <f>ROUND(VLOOKUP(B34,Upgrade_Params!$A$4:$K$23,4,FALSE)*VLOOKUP(B34,Upgrade_Params!$A$4:$K$23,5,FALSE)^(C34-1),0)</f>
        <v/>
      </c>
      <c r="F34" s="17">
        <f>ROUND(VLOOKUP(B34,Upgrade_Params!$A$4:$K$23,6,FALSE)*VLOOKUP(B34,Upgrade_Params!$A$4:$K$23,7,FALSE)^(C34-1),0)</f>
        <v/>
      </c>
      <c r="G34" s="17">
        <f>SUMIFS($F$4:F34,$B$4:B34,B34)</f>
        <v/>
      </c>
      <c r="H34" s="19">
        <f>IFERROR(E34/F34,0)</f>
        <v/>
      </c>
      <c r="I34" s="20">
        <f>VLOOKUP(B34,Upgrade_Params!$A$4:$K$23,9,FALSE)</f>
        <v/>
      </c>
      <c r="J34" s="20">
        <f>VLOOKUP(B34,Upgrade_Params!$A$4:$K$23,10,FALSE)</f>
        <v/>
      </c>
      <c r="K34" s="26">
        <f>IF(D34&lt;=6,"Starter",IF(D34&lt;=15,"Midgame",IF(D34&lt;=28,"Late Midgame","Endgame")))</f>
        <v/>
      </c>
      <c r="L34" s="18">
        <f>IFERROR(F34/E34*1000,0)</f>
        <v/>
      </c>
    </row>
    <row r="35">
      <c r="A35" s="25">
        <f>VLOOKUP(B35,Upgrade_Params!$A$4:$K$23,2,FALSE)</f>
        <v/>
      </c>
      <c r="B35" s="20" t="inlineStr">
        <is>
          <t>Referral Hub</t>
        </is>
      </c>
      <c r="C35" s="25" t="n">
        <v>2</v>
      </c>
      <c r="D35" s="25">
        <f>VLOOKUP(B35,Upgrade_Params!$A$4:$K$23,3,FALSE)</f>
        <v/>
      </c>
      <c r="E35" s="17">
        <f>ROUND(VLOOKUP(B35,Upgrade_Params!$A$4:$K$23,4,FALSE)*VLOOKUP(B35,Upgrade_Params!$A$4:$K$23,5,FALSE)^(C35-1),0)</f>
        <v/>
      </c>
      <c r="F35" s="17">
        <f>ROUND(VLOOKUP(B35,Upgrade_Params!$A$4:$K$23,6,FALSE)*VLOOKUP(B35,Upgrade_Params!$A$4:$K$23,7,FALSE)^(C35-1),0)</f>
        <v/>
      </c>
      <c r="G35" s="17">
        <f>SUMIFS($F$4:F35,$B$4:B35,B35)</f>
        <v/>
      </c>
      <c r="H35" s="19">
        <f>IFERROR(E35/F35,0)</f>
        <v/>
      </c>
      <c r="I35" s="20">
        <f>VLOOKUP(B35,Upgrade_Params!$A$4:$K$23,9,FALSE)</f>
        <v/>
      </c>
      <c r="J35" s="20">
        <f>VLOOKUP(B35,Upgrade_Params!$A$4:$K$23,10,FALSE)</f>
        <v/>
      </c>
      <c r="K35" s="26">
        <f>IF(D35&lt;=6,"Starter",IF(D35&lt;=15,"Midgame",IF(D35&lt;=28,"Late Midgame","Endgame")))</f>
        <v/>
      </c>
      <c r="L35" s="18">
        <f>IFERROR(F35/E35*1000,0)</f>
        <v/>
      </c>
    </row>
    <row r="36">
      <c r="A36" s="25">
        <f>VLOOKUP(B36,Upgrade_Params!$A$4:$K$23,2,FALSE)</f>
        <v/>
      </c>
      <c r="B36" s="20" t="inlineStr">
        <is>
          <t>Referral Hub</t>
        </is>
      </c>
      <c r="C36" s="25" t="n">
        <v>3</v>
      </c>
      <c r="D36" s="25">
        <f>VLOOKUP(B36,Upgrade_Params!$A$4:$K$23,3,FALSE)</f>
        <v/>
      </c>
      <c r="E36" s="17">
        <f>ROUND(VLOOKUP(B36,Upgrade_Params!$A$4:$K$23,4,FALSE)*VLOOKUP(B36,Upgrade_Params!$A$4:$K$23,5,FALSE)^(C36-1),0)</f>
        <v/>
      </c>
      <c r="F36" s="17">
        <f>ROUND(VLOOKUP(B36,Upgrade_Params!$A$4:$K$23,6,FALSE)*VLOOKUP(B36,Upgrade_Params!$A$4:$K$23,7,FALSE)^(C36-1),0)</f>
        <v/>
      </c>
      <c r="G36" s="17">
        <f>SUMIFS($F$4:F36,$B$4:B36,B36)</f>
        <v/>
      </c>
      <c r="H36" s="19">
        <f>IFERROR(E36/F36,0)</f>
        <v/>
      </c>
      <c r="I36" s="20">
        <f>VLOOKUP(B36,Upgrade_Params!$A$4:$K$23,9,FALSE)</f>
        <v/>
      </c>
      <c r="J36" s="20">
        <f>VLOOKUP(B36,Upgrade_Params!$A$4:$K$23,10,FALSE)</f>
        <v/>
      </c>
      <c r="K36" s="26">
        <f>IF(D36&lt;=6,"Starter",IF(D36&lt;=15,"Midgame",IF(D36&lt;=28,"Late Midgame","Endgame")))</f>
        <v/>
      </c>
      <c r="L36" s="18">
        <f>IFERROR(F36/E36*1000,0)</f>
        <v/>
      </c>
    </row>
    <row r="37">
      <c r="A37" s="25">
        <f>VLOOKUP(B37,Upgrade_Params!$A$4:$K$23,2,FALSE)</f>
        <v/>
      </c>
      <c r="B37" s="20" t="inlineStr">
        <is>
          <t>Referral Hub</t>
        </is>
      </c>
      <c r="C37" s="25" t="n">
        <v>4</v>
      </c>
      <c r="D37" s="25">
        <f>VLOOKUP(B37,Upgrade_Params!$A$4:$K$23,3,FALSE)</f>
        <v/>
      </c>
      <c r="E37" s="17">
        <f>ROUND(VLOOKUP(B37,Upgrade_Params!$A$4:$K$23,4,FALSE)*VLOOKUP(B37,Upgrade_Params!$A$4:$K$23,5,FALSE)^(C37-1),0)</f>
        <v/>
      </c>
      <c r="F37" s="17">
        <f>ROUND(VLOOKUP(B37,Upgrade_Params!$A$4:$K$23,6,FALSE)*VLOOKUP(B37,Upgrade_Params!$A$4:$K$23,7,FALSE)^(C37-1),0)</f>
        <v/>
      </c>
      <c r="G37" s="17">
        <f>SUMIFS($F$4:F37,$B$4:B37,B37)</f>
        <v/>
      </c>
      <c r="H37" s="19">
        <f>IFERROR(E37/F37,0)</f>
        <v/>
      </c>
      <c r="I37" s="20">
        <f>VLOOKUP(B37,Upgrade_Params!$A$4:$K$23,9,FALSE)</f>
        <v/>
      </c>
      <c r="J37" s="20">
        <f>VLOOKUP(B37,Upgrade_Params!$A$4:$K$23,10,FALSE)</f>
        <v/>
      </c>
      <c r="K37" s="26">
        <f>IF(D37&lt;=6,"Starter",IF(D37&lt;=15,"Midgame",IF(D37&lt;=28,"Late Midgame","Endgame")))</f>
        <v/>
      </c>
      <c r="L37" s="18">
        <f>IFERROR(F37/E37*1000,0)</f>
        <v/>
      </c>
    </row>
    <row r="38">
      <c r="A38" s="25">
        <f>VLOOKUP(B38,Upgrade_Params!$A$4:$K$23,2,FALSE)</f>
        <v/>
      </c>
      <c r="B38" s="20" t="inlineStr">
        <is>
          <t>Referral Hub</t>
        </is>
      </c>
      <c r="C38" s="25" t="n">
        <v>5</v>
      </c>
      <c r="D38" s="25">
        <f>VLOOKUP(B38,Upgrade_Params!$A$4:$K$23,3,FALSE)</f>
        <v/>
      </c>
      <c r="E38" s="17">
        <f>ROUND(VLOOKUP(B38,Upgrade_Params!$A$4:$K$23,4,FALSE)*VLOOKUP(B38,Upgrade_Params!$A$4:$K$23,5,FALSE)^(C38-1),0)</f>
        <v/>
      </c>
      <c r="F38" s="17">
        <f>ROUND(VLOOKUP(B38,Upgrade_Params!$A$4:$K$23,6,FALSE)*VLOOKUP(B38,Upgrade_Params!$A$4:$K$23,7,FALSE)^(C38-1),0)</f>
        <v/>
      </c>
      <c r="G38" s="17">
        <f>SUMIFS($F$4:F38,$B$4:B38,B38)</f>
        <v/>
      </c>
      <c r="H38" s="19">
        <f>IFERROR(E38/F38,0)</f>
        <v/>
      </c>
      <c r="I38" s="20">
        <f>VLOOKUP(B38,Upgrade_Params!$A$4:$K$23,9,FALSE)</f>
        <v/>
      </c>
      <c r="J38" s="20">
        <f>VLOOKUP(B38,Upgrade_Params!$A$4:$K$23,10,FALSE)</f>
        <v/>
      </c>
      <c r="K38" s="26">
        <f>IF(D38&lt;=6,"Starter",IF(D38&lt;=15,"Midgame",IF(D38&lt;=28,"Late Midgame","Endgame")))</f>
        <v/>
      </c>
      <c r="L38" s="18">
        <f>IFERROR(F38/E38*1000,0)</f>
        <v/>
      </c>
    </row>
    <row r="39">
      <c r="A39" s="25">
        <f>VLOOKUP(B39,Upgrade_Params!$A$4:$K$23,2,FALSE)</f>
        <v/>
      </c>
      <c r="B39" s="20" t="inlineStr">
        <is>
          <t>Referral Hub</t>
        </is>
      </c>
      <c r="C39" s="25" t="n">
        <v>6</v>
      </c>
      <c r="D39" s="25">
        <f>VLOOKUP(B39,Upgrade_Params!$A$4:$K$23,3,FALSE)</f>
        <v/>
      </c>
      <c r="E39" s="17">
        <f>ROUND(VLOOKUP(B39,Upgrade_Params!$A$4:$K$23,4,FALSE)*VLOOKUP(B39,Upgrade_Params!$A$4:$K$23,5,FALSE)^(C39-1),0)</f>
        <v/>
      </c>
      <c r="F39" s="17">
        <f>ROUND(VLOOKUP(B39,Upgrade_Params!$A$4:$K$23,6,FALSE)*VLOOKUP(B39,Upgrade_Params!$A$4:$K$23,7,FALSE)^(C39-1),0)</f>
        <v/>
      </c>
      <c r="G39" s="17">
        <f>SUMIFS($F$4:F39,$B$4:B39,B39)</f>
        <v/>
      </c>
      <c r="H39" s="19">
        <f>IFERROR(E39/F39,0)</f>
        <v/>
      </c>
      <c r="I39" s="20">
        <f>VLOOKUP(B39,Upgrade_Params!$A$4:$K$23,9,FALSE)</f>
        <v/>
      </c>
      <c r="J39" s="20">
        <f>VLOOKUP(B39,Upgrade_Params!$A$4:$K$23,10,FALSE)</f>
        <v/>
      </c>
      <c r="K39" s="26">
        <f>IF(D39&lt;=6,"Starter",IF(D39&lt;=15,"Midgame",IF(D39&lt;=28,"Late Midgame","Endgame")))</f>
        <v/>
      </c>
      <c r="L39" s="18">
        <f>IFERROR(F39/E39*1000,0)</f>
        <v/>
      </c>
    </row>
    <row r="40">
      <c r="A40" s="25">
        <f>VLOOKUP(B40,Upgrade_Params!$A$4:$K$23,2,FALSE)</f>
        <v/>
      </c>
      <c r="B40" s="20" t="inlineStr">
        <is>
          <t>Referral Hub</t>
        </is>
      </c>
      <c r="C40" s="25" t="n">
        <v>7</v>
      </c>
      <c r="D40" s="25">
        <f>VLOOKUP(B40,Upgrade_Params!$A$4:$K$23,3,FALSE)</f>
        <v/>
      </c>
      <c r="E40" s="17">
        <f>ROUND(VLOOKUP(B40,Upgrade_Params!$A$4:$K$23,4,FALSE)*VLOOKUP(B40,Upgrade_Params!$A$4:$K$23,5,FALSE)^(C40-1),0)</f>
        <v/>
      </c>
      <c r="F40" s="17">
        <f>ROUND(VLOOKUP(B40,Upgrade_Params!$A$4:$K$23,6,FALSE)*VLOOKUP(B40,Upgrade_Params!$A$4:$K$23,7,FALSE)^(C40-1),0)</f>
        <v/>
      </c>
      <c r="G40" s="17">
        <f>SUMIFS($F$4:F40,$B$4:B40,B40)</f>
        <v/>
      </c>
      <c r="H40" s="19">
        <f>IFERROR(E40/F40,0)</f>
        <v/>
      </c>
      <c r="I40" s="20">
        <f>VLOOKUP(B40,Upgrade_Params!$A$4:$K$23,9,FALSE)</f>
        <v/>
      </c>
      <c r="J40" s="20">
        <f>VLOOKUP(B40,Upgrade_Params!$A$4:$K$23,10,FALSE)</f>
        <v/>
      </c>
      <c r="K40" s="26">
        <f>IF(D40&lt;=6,"Starter",IF(D40&lt;=15,"Midgame",IF(D40&lt;=28,"Late Midgame","Endgame")))</f>
        <v/>
      </c>
      <c r="L40" s="18">
        <f>IFERROR(F40/E40*1000,0)</f>
        <v/>
      </c>
    </row>
    <row r="41">
      <c r="A41" s="25">
        <f>VLOOKUP(B41,Upgrade_Params!$A$4:$K$23,2,FALSE)</f>
        <v/>
      </c>
      <c r="B41" s="20" t="inlineStr">
        <is>
          <t>Referral Hub</t>
        </is>
      </c>
      <c r="C41" s="25" t="n">
        <v>8</v>
      </c>
      <c r="D41" s="25">
        <f>VLOOKUP(B41,Upgrade_Params!$A$4:$K$23,3,FALSE)</f>
        <v/>
      </c>
      <c r="E41" s="17">
        <f>ROUND(VLOOKUP(B41,Upgrade_Params!$A$4:$K$23,4,FALSE)*VLOOKUP(B41,Upgrade_Params!$A$4:$K$23,5,FALSE)^(C41-1),0)</f>
        <v/>
      </c>
      <c r="F41" s="17">
        <f>ROUND(VLOOKUP(B41,Upgrade_Params!$A$4:$K$23,6,FALSE)*VLOOKUP(B41,Upgrade_Params!$A$4:$K$23,7,FALSE)^(C41-1),0)</f>
        <v/>
      </c>
      <c r="G41" s="17">
        <f>SUMIFS($F$4:F41,$B$4:B41,B41)</f>
        <v/>
      </c>
      <c r="H41" s="19">
        <f>IFERROR(E41/F41,0)</f>
        <v/>
      </c>
      <c r="I41" s="20">
        <f>VLOOKUP(B41,Upgrade_Params!$A$4:$K$23,9,FALSE)</f>
        <v/>
      </c>
      <c r="J41" s="20">
        <f>VLOOKUP(B41,Upgrade_Params!$A$4:$K$23,10,FALSE)</f>
        <v/>
      </c>
      <c r="K41" s="26">
        <f>IF(D41&lt;=6,"Starter",IF(D41&lt;=15,"Midgame",IF(D41&lt;=28,"Late Midgame","Endgame")))</f>
        <v/>
      </c>
      <c r="L41" s="18">
        <f>IFERROR(F41/E41*1000,0)</f>
        <v/>
      </c>
    </row>
    <row r="42">
      <c r="A42" s="25">
        <f>VLOOKUP(B42,Upgrade_Params!$A$4:$K$23,2,FALSE)</f>
        <v/>
      </c>
      <c r="B42" s="20" t="inlineStr">
        <is>
          <t>Referral Hub</t>
        </is>
      </c>
      <c r="C42" s="25" t="n">
        <v>9</v>
      </c>
      <c r="D42" s="25">
        <f>VLOOKUP(B42,Upgrade_Params!$A$4:$K$23,3,FALSE)</f>
        <v/>
      </c>
      <c r="E42" s="17">
        <f>ROUND(VLOOKUP(B42,Upgrade_Params!$A$4:$K$23,4,FALSE)*VLOOKUP(B42,Upgrade_Params!$A$4:$K$23,5,FALSE)^(C42-1),0)</f>
        <v/>
      </c>
      <c r="F42" s="17">
        <f>ROUND(VLOOKUP(B42,Upgrade_Params!$A$4:$K$23,6,FALSE)*VLOOKUP(B42,Upgrade_Params!$A$4:$K$23,7,FALSE)^(C42-1),0)</f>
        <v/>
      </c>
      <c r="G42" s="17">
        <f>SUMIFS($F$4:F42,$B$4:B42,B42)</f>
        <v/>
      </c>
      <c r="H42" s="19">
        <f>IFERROR(E42/F42,0)</f>
        <v/>
      </c>
      <c r="I42" s="20">
        <f>VLOOKUP(B42,Upgrade_Params!$A$4:$K$23,9,FALSE)</f>
        <v/>
      </c>
      <c r="J42" s="20">
        <f>VLOOKUP(B42,Upgrade_Params!$A$4:$K$23,10,FALSE)</f>
        <v/>
      </c>
      <c r="K42" s="26">
        <f>IF(D42&lt;=6,"Starter",IF(D42&lt;=15,"Midgame",IF(D42&lt;=28,"Late Midgame","Endgame")))</f>
        <v/>
      </c>
      <c r="L42" s="18">
        <f>IFERROR(F42/E42*1000,0)</f>
        <v/>
      </c>
    </row>
    <row r="43">
      <c r="A43" s="25">
        <f>VLOOKUP(B43,Upgrade_Params!$A$4:$K$23,2,FALSE)</f>
        <v/>
      </c>
      <c r="B43" s="20" t="inlineStr">
        <is>
          <t>Referral Hub</t>
        </is>
      </c>
      <c r="C43" s="25" t="n">
        <v>10</v>
      </c>
      <c r="D43" s="25">
        <f>VLOOKUP(B43,Upgrade_Params!$A$4:$K$23,3,FALSE)</f>
        <v/>
      </c>
      <c r="E43" s="17">
        <f>ROUND(VLOOKUP(B43,Upgrade_Params!$A$4:$K$23,4,FALSE)*VLOOKUP(B43,Upgrade_Params!$A$4:$K$23,5,FALSE)^(C43-1),0)</f>
        <v/>
      </c>
      <c r="F43" s="17">
        <f>ROUND(VLOOKUP(B43,Upgrade_Params!$A$4:$K$23,6,FALSE)*VLOOKUP(B43,Upgrade_Params!$A$4:$K$23,7,FALSE)^(C43-1),0)</f>
        <v/>
      </c>
      <c r="G43" s="17">
        <f>SUMIFS($F$4:F43,$B$4:B43,B43)</f>
        <v/>
      </c>
      <c r="H43" s="19">
        <f>IFERROR(E43/F43,0)</f>
        <v/>
      </c>
      <c r="I43" s="20">
        <f>VLOOKUP(B43,Upgrade_Params!$A$4:$K$23,9,FALSE)</f>
        <v/>
      </c>
      <c r="J43" s="20">
        <f>VLOOKUP(B43,Upgrade_Params!$A$4:$K$23,10,FALSE)</f>
        <v/>
      </c>
      <c r="K43" s="26">
        <f>IF(D43&lt;=6,"Starter",IF(D43&lt;=15,"Midgame",IF(D43&lt;=28,"Late Midgame","Endgame")))</f>
        <v/>
      </c>
      <c r="L43" s="18">
        <f>IFERROR(F43/E43*1000,0)</f>
        <v/>
      </c>
    </row>
    <row r="44">
      <c r="A44" s="25">
        <f>VLOOKUP(B44,Upgrade_Params!$A$4:$K$23,2,FALSE)</f>
        <v/>
      </c>
      <c r="B44" s="20" t="inlineStr">
        <is>
          <t>Referral Hub</t>
        </is>
      </c>
      <c r="C44" s="25" t="n">
        <v>11</v>
      </c>
      <c r="D44" s="25">
        <f>VLOOKUP(B44,Upgrade_Params!$A$4:$K$23,3,FALSE)</f>
        <v/>
      </c>
      <c r="E44" s="17">
        <f>ROUND(VLOOKUP(B44,Upgrade_Params!$A$4:$K$23,4,FALSE)*VLOOKUP(B44,Upgrade_Params!$A$4:$K$23,5,FALSE)^(C44-1),0)</f>
        <v/>
      </c>
      <c r="F44" s="17">
        <f>ROUND(VLOOKUP(B44,Upgrade_Params!$A$4:$K$23,6,FALSE)*VLOOKUP(B44,Upgrade_Params!$A$4:$K$23,7,FALSE)^(C44-1),0)</f>
        <v/>
      </c>
      <c r="G44" s="17">
        <f>SUMIFS($F$4:F44,$B$4:B44,B44)</f>
        <v/>
      </c>
      <c r="H44" s="19">
        <f>IFERROR(E44/F44,0)</f>
        <v/>
      </c>
      <c r="I44" s="20">
        <f>VLOOKUP(B44,Upgrade_Params!$A$4:$K$23,9,FALSE)</f>
        <v/>
      </c>
      <c r="J44" s="20">
        <f>VLOOKUP(B44,Upgrade_Params!$A$4:$K$23,10,FALSE)</f>
        <v/>
      </c>
      <c r="K44" s="26">
        <f>IF(D44&lt;=6,"Starter",IF(D44&lt;=15,"Midgame",IF(D44&lt;=28,"Late Midgame","Endgame")))</f>
        <v/>
      </c>
      <c r="L44" s="18">
        <f>IFERROR(F44/E44*1000,0)</f>
        <v/>
      </c>
    </row>
    <row r="45">
      <c r="A45" s="25">
        <f>VLOOKUP(B45,Upgrade_Params!$A$4:$K$23,2,FALSE)</f>
        <v/>
      </c>
      <c r="B45" s="20" t="inlineStr">
        <is>
          <t>Referral Hub</t>
        </is>
      </c>
      <c r="C45" s="25" t="n">
        <v>12</v>
      </c>
      <c r="D45" s="25">
        <f>VLOOKUP(B45,Upgrade_Params!$A$4:$K$23,3,FALSE)</f>
        <v/>
      </c>
      <c r="E45" s="17">
        <f>ROUND(VLOOKUP(B45,Upgrade_Params!$A$4:$K$23,4,FALSE)*VLOOKUP(B45,Upgrade_Params!$A$4:$K$23,5,FALSE)^(C45-1),0)</f>
        <v/>
      </c>
      <c r="F45" s="17">
        <f>ROUND(VLOOKUP(B45,Upgrade_Params!$A$4:$K$23,6,FALSE)*VLOOKUP(B45,Upgrade_Params!$A$4:$K$23,7,FALSE)^(C45-1),0)</f>
        <v/>
      </c>
      <c r="G45" s="17">
        <f>SUMIFS($F$4:F45,$B$4:B45,B45)</f>
        <v/>
      </c>
      <c r="H45" s="19">
        <f>IFERROR(E45/F45,0)</f>
        <v/>
      </c>
      <c r="I45" s="20">
        <f>VLOOKUP(B45,Upgrade_Params!$A$4:$K$23,9,FALSE)</f>
        <v/>
      </c>
      <c r="J45" s="20">
        <f>VLOOKUP(B45,Upgrade_Params!$A$4:$K$23,10,FALSE)</f>
        <v/>
      </c>
      <c r="K45" s="26">
        <f>IF(D45&lt;=6,"Starter",IF(D45&lt;=15,"Midgame",IF(D45&lt;=28,"Late Midgame","Endgame")))</f>
        <v/>
      </c>
      <c r="L45" s="18">
        <f>IFERROR(F45/E45*1000,0)</f>
        <v/>
      </c>
    </row>
    <row r="46">
      <c r="A46" s="25">
        <f>VLOOKUP(B46,Upgrade_Params!$A$4:$K$23,2,FALSE)</f>
        <v/>
      </c>
      <c r="B46" s="20" t="inlineStr">
        <is>
          <t>Referral Hub</t>
        </is>
      </c>
      <c r="C46" s="25" t="n">
        <v>13</v>
      </c>
      <c r="D46" s="25">
        <f>VLOOKUP(B46,Upgrade_Params!$A$4:$K$23,3,FALSE)</f>
        <v/>
      </c>
      <c r="E46" s="17">
        <f>ROUND(VLOOKUP(B46,Upgrade_Params!$A$4:$K$23,4,FALSE)*VLOOKUP(B46,Upgrade_Params!$A$4:$K$23,5,FALSE)^(C46-1),0)</f>
        <v/>
      </c>
      <c r="F46" s="17">
        <f>ROUND(VLOOKUP(B46,Upgrade_Params!$A$4:$K$23,6,FALSE)*VLOOKUP(B46,Upgrade_Params!$A$4:$K$23,7,FALSE)^(C46-1),0)</f>
        <v/>
      </c>
      <c r="G46" s="17">
        <f>SUMIFS($F$4:F46,$B$4:B46,B46)</f>
        <v/>
      </c>
      <c r="H46" s="19">
        <f>IFERROR(E46/F46,0)</f>
        <v/>
      </c>
      <c r="I46" s="20">
        <f>VLOOKUP(B46,Upgrade_Params!$A$4:$K$23,9,FALSE)</f>
        <v/>
      </c>
      <c r="J46" s="20">
        <f>VLOOKUP(B46,Upgrade_Params!$A$4:$K$23,10,FALSE)</f>
        <v/>
      </c>
      <c r="K46" s="26">
        <f>IF(D46&lt;=6,"Starter",IF(D46&lt;=15,"Midgame",IF(D46&lt;=28,"Late Midgame","Endgame")))</f>
        <v/>
      </c>
      <c r="L46" s="18">
        <f>IFERROR(F46/E46*1000,0)</f>
        <v/>
      </c>
    </row>
    <row r="47">
      <c r="A47" s="25">
        <f>VLOOKUP(B47,Upgrade_Params!$A$4:$K$23,2,FALSE)</f>
        <v/>
      </c>
      <c r="B47" s="20" t="inlineStr">
        <is>
          <t>Referral Hub</t>
        </is>
      </c>
      <c r="C47" s="25" t="n">
        <v>14</v>
      </c>
      <c r="D47" s="25">
        <f>VLOOKUP(B47,Upgrade_Params!$A$4:$K$23,3,FALSE)</f>
        <v/>
      </c>
      <c r="E47" s="17">
        <f>ROUND(VLOOKUP(B47,Upgrade_Params!$A$4:$K$23,4,FALSE)*VLOOKUP(B47,Upgrade_Params!$A$4:$K$23,5,FALSE)^(C47-1),0)</f>
        <v/>
      </c>
      <c r="F47" s="17">
        <f>ROUND(VLOOKUP(B47,Upgrade_Params!$A$4:$K$23,6,FALSE)*VLOOKUP(B47,Upgrade_Params!$A$4:$K$23,7,FALSE)^(C47-1),0)</f>
        <v/>
      </c>
      <c r="G47" s="17">
        <f>SUMIFS($F$4:F47,$B$4:B47,B47)</f>
        <v/>
      </c>
      <c r="H47" s="19">
        <f>IFERROR(E47/F47,0)</f>
        <v/>
      </c>
      <c r="I47" s="20">
        <f>VLOOKUP(B47,Upgrade_Params!$A$4:$K$23,9,FALSE)</f>
        <v/>
      </c>
      <c r="J47" s="20">
        <f>VLOOKUP(B47,Upgrade_Params!$A$4:$K$23,10,FALSE)</f>
        <v/>
      </c>
      <c r="K47" s="26">
        <f>IF(D47&lt;=6,"Starter",IF(D47&lt;=15,"Midgame",IF(D47&lt;=28,"Late Midgame","Endgame")))</f>
        <v/>
      </c>
      <c r="L47" s="18">
        <f>IFERROR(F47/E47*1000,0)</f>
        <v/>
      </c>
    </row>
    <row r="48">
      <c r="A48" s="25">
        <f>VLOOKUP(B48,Upgrade_Params!$A$4:$K$23,2,FALSE)</f>
        <v/>
      </c>
      <c r="B48" s="20" t="inlineStr">
        <is>
          <t>Referral Hub</t>
        </is>
      </c>
      <c r="C48" s="25" t="n">
        <v>15</v>
      </c>
      <c r="D48" s="25">
        <f>VLOOKUP(B48,Upgrade_Params!$A$4:$K$23,3,FALSE)</f>
        <v/>
      </c>
      <c r="E48" s="17">
        <f>ROUND(VLOOKUP(B48,Upgrade_Params!$A$4:$K$23,4,FALSE)*VLOOKUP(B48,Upgrade_Params!$A$4:$K$23,5,FALSE)^(C48-1),0)</f>
        <v/>
      </c>
      <c r="F48" s="17">
        <f>ROUND(VLOOKUP(B48,Upgrade_Params!$A$4:$K$23,6,FALSE)*VLOOKUP(B48,Upgrade_Params!$A$4:$K$23,7,FALSE)^(C48-1),0)</f>
        <v/>
      </c>
      <c r="G48" s="17">
        <f>SUMIFS($F$4:F48,$B$4:B48,B48)</f>
        <v/>
      </c>
      <c r="H48" s="19">
        <f>IFERROR(E48/F48,0)</f>
        <v/>
      </c>
      <c r="I48" s="20">
        <f>VLOOKUP(B48,Upgrade_Params!$A$4:$K$23,9,FALSE)</f>
        <v/>
      </c>
      <c r="J48" s="20">
        <f>VLOOKUP(B48,Upgrade_Params!$A$4:$K$23,10,FALSE)</f>
        <v/>
      </c>
      <c r="K48" s="26">
        <f>IF(D48&lt;=6,"Starter",IF(D48&lt;=15,"Midgame",IF(D48&lt;=28,"Late Midgame","Endgame")))</f>
        <v/>
      </c>
      <c r="L48" s="18">
        <f>IFERROR(F48/E48*1000,0)</f>
        <v/>
      </c>
    </row>
    <row r="49">
      <c r="A49" s="25">
        <f>VLOOKUP(B49,Upgrade_Params!$A$4:$K$23,2,FALSE)</f>
        <v/>
      </c>
      <c r="B49" s="20" t="inlineStr">
        <is>
          <t>Liquidity Pool</t>
        </is>
      </c>
      <c r="C49" s="25" t="n">
        <v>1</v>
      </c>
      <c r="D49" s="25">
        <f>VLOOKUP(B49,Upgrade_Params!$A$4:$K$23,3,FALSE)</f>
        <v/>
      </c>
      <c r="E49" s="17">
        <f>ROUND(VLOOKUP(B49,Upgrade_Params!$A$4:$K$23,4,FALSE)*VLOOKUP(B49,Upgrade_Params!$A$4:$K$23,5,FALSE)^(C49-1),0)</f>
        <v/>
      </c>
      <c r="F49" s="17">
        <f>ROUND(VLOOKUP(B49,Upgrade_Params!$A$4:$K$23,6,FALSE)*VLOOKUP(B49,Upgrade_Params!$A$4:$K$23,7,FALSE)^(C49-1),0)</f>
        <v/>
      </c>
      <c r="G49" s="17">
        <f>SUMIFS($F$4:F49,$B$4:B49,B49)</f>
        <v/>
      </c>
      <c r="H49" s="19">
        <f>IFERROR(E49/F49,0)</f>
        <v/>
      </c>
      <c r="I49" s="20">
        <f>VLOOKUP(B49,Upgrade_Params!$A$4:$K$23,9,FALSE)</f>
        <v/>
      </c>
      <c r="J49" s="20">
        <f>VLOOKUP(B49,Upgrade_Params!$A$4:$K$23,10,FALSE)</f>
        <v/>
      </c>
      <c r="K49" s="26">
        <f>IF(D49&lt;=6,"Starter",IF(D49&lt;=15,"Midgame",IF(D49&lt;=28,"Late Midgame","Endgame")))</f>
        <v/>
      </c>
      <c r="L49" s="18">
        <f>IFERROR(F49/E49*1000,0)</f>
        <v/>
      </c>
    </row>
    <row r="50">
      <c r="A50" s="25">
        <f>VLOOKUP(B50,Upgrade_Params!$A$4:$K$23,2,FALSE)</f>
        <v/>
      </c>
      <c r="B50" s="20" t="inlineStr">
        <is>
          <t>Liquidity Pool</t>
        </is>
      </c>
      <c r="C50" s="25" t="n">
        <v>2</v>
      </c>
      <c r="D50" s="25">
        <f>VLOOKUP(B50,Upgrade_Params!$A$4:$K$23,3,FALSE)</f>
        <v/>
      </c>
      <c r="E50" s="17">
        <f>ROUND(VLOOKUP(B50,Upgrade_Params!$A$4:$K$23,4,FALSE)*VLOOKUP(B50,Upgrade_Params!$A$4:$K$23,5,FALSE)^(C50-1),0)</f>
        <v/>
      </c>
      <c r="F50" s="17">
        <f>ROUND(VLOOKUP(B50,Upgrade_Params!$A$4:$K$23,6,FALSE)*VLOOKUP(B50,Upgrade_Params!$A$4:$K$23,7,FALSE)^(C50-1),0)</f>
        <v/>
      </c>
      <c r="G50" s="17">
        <f>SUMIFS($F$4:F50,$B$4:B50,B50)</f>
        <v/>
      </c>
      <c r="H50" s="19">
        <f>IFERROR(E50/F50,0)</f>
        <v/>
      </c>
      <c r="I50" s="20">
        <f>VLOOKUP(B50,Upgrade_Params!$A$4:$K$23,9,FALSE)</f>
        <v/>
      </c>
      <c r="J50" s="20">
        <f>VLOOKUP(B50,Upgrade_Params!$A$4:$K$23,10,FALSE)</f>
        <v/>
      </c>
      <c r="K50" s="26">
        <f>IF(D50&lt;=6,"Starter",IF(D50&lt;=15,"Midgame",IF(D50&lt;=28,"Late Midgame","Endgame")))</f>
        <v/>
      </c>
      <c r="L50" s="18">
        <f>IFERROR(F50/E50*1000,0)</f>
        <v/>
      </c>
    </row>
    <row r="51">
      <c r="A51" s="25">
        <f>VLOOKUP(B51,Upgrade_Params!$A$4:$K$23,2,FALSE)</f>
        <v/>
      </c>
      <c r="B51" s="20" t="inlineStr">
        <is>
          <t>Liquidity Pool</t>
        </is>
      </c>
      <c r="C51" s="25" t="n">
        <v>3</v>
      </c>
      <c r="D51" s="25">
        <f>VLOOKUP(B51,Upgrade_Params!$A$4:$K$23,3,FALSE)</f>
        <v/>
      </c>
      <c r="E51" s="17">
        <f>ROUND(VLOOKUP(B51,Upgrade_Params!$A$4:$K$23,4,FALSE)*VLOOKUP(B51,Upgrade_Params!$A$4:$K$23,5,FALSE)^(C51-1),0)</f>
        <v/>
      </c>
      <c r="F51" s="17">
        <f>ROUND(VLOOKUP(B51,Upgrade_Params!$A$4:$K$23,6,FALSE)*VLOOKUP(B51,Upgrade_Params!$A$4:$K$23,7,FALSE)^(C51-1),0)</f>
        <v/>
      </c>
      <c r="G51" s="17">
        <f>SUMIFS($F$4:F51,$B$4:B51,B51)</f>
        <v/>
      </c>
      <c r="H51" s="19">
        <f>IFERROR(E51/F51,0)</f>
        <v/>
      </c>
      <c r="I51" s="20">
        <f>VLOOKUP(B51,Upgrade_Params!$A$4:$K$23,9,FALSE)</f>
        <v/>
      </c>
      <c r="J51" s="20">
        <f>VLOOKUP(B51,Upgrade_Params!$A$4:$K$23,10,FALSE)</f>
        <v/>
      </c>
      <c r="K51" s="26">
        <f>IF(D51&lt;=6,"Starter",IF(D51&lt;=15,"Midgame",IF(D51&lt;=28,"Late Midgame","Endgame")))</f>
        <v/>
      </c>
      <c r="L51" s="18">
        <f>IFERROR(F51/E51*1000,0)</f>
        <v/>
      </c>
    </row>
    <row r="52">
      <c r="A52" s="25">
        <f>VLOOKUP(B52,Upgrade_Params!$A$4:$K$23,2,FALSE)</f>
        <v/>
      </c>
      <c r="B52" s="20" t="inlineStr">
        <is>
          <t>Liquidity Pool</t>
        </is>
      </c>
      <c r="C52" s="25" t="n">
        <v>4</v>
      </c>
      <c r="D52" s="25">
        <f>VLOOKUP(B52,Upgrade_Params!$A$4:$K$23,3,FALSE)</f>
        <v/>
      </c>
      <c r="E52" s="17">
        <f>ROUND(VLOOKUP(B52,Upgrade_Params!$A$4:$K$23,4,FALSE)*VLOOKUP(B52,Upgrade_Params!$A$4:$K$23,5,FALSE)^(C52-1),0)</f>
        <v/>
      </c>
      <c r="F52" s="17">
        <f>ROUND(VLOOKUP(B52,Upgrade_Params!$A$4:$K$23,6,FALSE)*VLOOKUP(B52,Upgrade_Params!$A$4:$K$23,7,FALSE)^(C52-1),0)</f>
        <v/>
      </c>
      <c r="G52" s="17">
        <f>SUMIFS($F$4:F52,$B$4:B52,B52)</f>
        <v/>
      </c>
      <c r="H52" s="19">
        <f>IFERROR(E52/F52,0)</f>
        <v/>
      </c>
      <c r="I52" s="20">
        <f>VLOOKUP(B52,Upgrade_Params!$A$4:$K$23,9,FALSE)</f>
        <v/>
      </c>
      <c r="J52" s="20">
        <f>VLOOKUP(B52,Upgrade_Params!$A$4:$K$23,10,FALSE)</f>
        <v/>
      </c>
      <c r="K52" s="26">
        <f>IF(D52&lt;=6,"Starter",IF(D52&lt;=15,"Midgame",IF(D52&lt;=28,"Late Midgame","Endgame")))</f>
        <v/>
      </c>
      <c r="L52" s="18">
        <f>IFERROR(F52/E52*1000,0)</f>
        <v/>
      </c>
    </row>
    <row r="53">
      <c r="A53" s="25">
        <f>VLOOKUP(B53,Upgrade_Params!$A$4:$K$23,2,FALSE)</f>
        <v/>
      </c>
      <c r="B53" s="20" t="inlineStr">
        <is>
          <t>Liquidity Pool</t>
        </is>
      </c>
      <c r="C53" s="25" t="n">
        <v>5</v>
      </c>
      <c r="D53" s="25">
        <f>VLOOKUP(B53,Upgrade_Params!$A$4:$K$23,3,FALSE)</f>
        <v/>
      </c>
      <c r="E53" s="17">
        <f>ROUND(VLOOKUP(B53,Upgrade_Params!$A$4:$K$23,4,FALSE)*VLOOKUP(B53,Upgrade_Params!$A$4:$K$23,5,FALSE)^(C53-1),0)</f>
        <v/>
      </c>
      <c r="F53" s="17">
        <f>ROUND(VLOOKUP(B53,Upgrade_Params!$A$4:$K$23,6,FALSE)*VLOOKUP(B53,Upgrade_Params!$A$4:$K$23,7,FALSE)^(C53-1),0)</f>
        <v/>
      </c>
      <c r="G53" s="17">
        <f>SUMIFS($F$4:F53,$B$4:B53,B53)</f>
        <v/>
      </c>
      <c r="H53" s="19">
        <f>IFERROR(E53/F53,0)</f>
        <v/>
      </c>
      <c r="I53" s="20">
        <f>VLOOKUP(B53,Upgrade_Params!$A$4:$K$23,9,FALSE)</f>
        <v/>
      </c>
      <c r="J53" s="20">
        <f>VLOOKUP(B53,Upgrade_Params!$A$4:$K$23,10,FALSE)</f>
        <v/>
      </c>
      <c r="K53" s="26">
        <f>IF(D53&lt;=6,"Starter",IF(D53&lt;=15,"Midgame",IF(D53&lt;=28,"Late Midgame","Endgame")))</f>
        <v/>
      </c>
      <c r="L53" s="18">
        <f>IFERROR(F53/E53*1000,0)</f>
        <v/>
      </c>
    </row>
    <row r="54">
      <c r="A54" s="25">
        <f>VLOOKUP(B54,Upgrade_Params!$A$4:$K$23,2,FALSE)</f>
        <v/>
      </c>
      <c r="B54" s="20" t="inlineStr">
        <is>
          <t>Liquidity Pool</t>
        </is>
      </c>
      <c r="C54" s="25" t="n">
        <v>6</v>
      </c>
      <c r="D54" s="25">
        <f>VLOOKUP(B54,Upgrade_Params!$A$4:$K$23,3,FALSE)</f>
        <v/>
      </c>
      <c r="E54" s="17">
        <f>ROUND(VLOOKUP(B54,Upgrade_Params!$A$4:$K$23,4,FALSE)*VLOOKUP(B54,Upgrade_Params!$A$4:$K$23,5,FALSE)^(C54-1),0)</f>
        <v/>
      </c>
      <c r="F54" s="17">
        <f>ROUND(VLOOKUP(B54,Upgrade_Params!$A$4:$K$23,6,FALSE)*VLOOKUP(B54,Upgrade_Params!$A$4:$K$23,7,FALSE)^(C54-1),0)</f>
        <v/>
      </c>
      <c r="G54" s="17">
        <f>SUMIFS($F$4:F54,$B$4:B54,B54)</f>
        <v/>
      </c>
      <c r="H54" s="19">
        <f>IFERROR(E54/F54,0)</f>
        <v/>
      </c>
      <c r="I54" s="20">
        <f>VLOOKUP(B54,Upgrade_Params!$A$4:$K$23,9,FALSE)</f>
        <v/>
      </c>
      <c r="J54" s="20">
        <f>VLOOKUP(B54,Upgrade_Params!$A$4:$K$23,10,FALSE)</f>
        <v/>
      </c>
      <c r="K54" s="26">
        <f>IF(D54&lt;=6,"Starter",IF(D54&lt;=15,"Midgame",IF(D54&lt;=28,"Late Midgame","Endgame")))</f>
        <v/>
      </c>
      <c r="L54" s="18">
        <f>IFERROR(F54/E54*1000,0)</f>
        <v/>
      </c>
    </row>
    <row r="55">
      <c r="A55" s="25">
        <f>VLOOKUP(B55,Upgrade_Params!$A$4:$K$23,2,FALSE)</f>
        <v/>
      </c>
      <c r="B55" s="20" t="inlineStr">
        <is>
          <t>Liquidity Pool</t>
        </is>
      </c>
      <c r="C55" s="25" t="n">
        <v>7</v>
      </c>
      <c r="D55" s="25">
        <f>VLOOKUP(B55,Upgrade_Params!$A$4:$K$23,3,FALSE)</f>
        <v/>
      </c>
      <c r="E55" s="17">
        <f>ROUND(VLOOKUP(B55,Upgrade_Params!$A$4:$K$23,4,FALSE)*VLOOKUP(B55,Upgrade_Params!$A$4:$K$23,5,FALSE)^(C55-1),0)</f>
        <v/>
      </c>
      <c r="F55" s="17">
        <f>ROUND(VLOOKUP(B55,Upgrade_Params!$A$4:$K$23,6,FALSE)*VLOOKUP(B55,Upgrade_Params!$A$4:$K$23,7,FALSE)^(C55-1),0)</f>
        <v/>
      </c>
      <c r="G55" s="17">
        <f>SUMIFS($F$4:F55,$B$4:B55,B55)</f>
        <v/>
      </c>
      <c r="H55" s="19">
        <f>IFERROR(E55/F55,0)</f>
        <v/>
      </c>
      <c r="I55" s="20">
        <f>VLOOKUP(B55,Upgrade_Params!$A$4:$K$23,9,FALSE)</f>
        <v/>
      </c>
      <c r="J55" s="20">
        <f>VLOOKUP(B55,Upgrade_Params!$A$4:$K$23,10,FALSE)</f>
        <v/>
      </c>
      <c r="K55" s="26">
        <f>IF(D55&lt;=6,"Starter",IF(D55&lt;=15,"Midgame",IF(D55&lt;=28,"Late Midgame","Endgame")))</f>
        <v/>
      </c>
      <c r="L55" s="18">
        <f>IFERROR(F55/E55*1000,0)</f>
        <v/>
      </c>
    </row>
    <row r="56">
      <c r="A56" s="25">
        <f>VLOOKUP(B56,Upgrade_Params!$A$4:$K$23,2,FALSE)</f>
        <v/>
      </c>
      <c r="B56" s="20" t="inlineStr">
        <is>
          <t>Liquidity Pool</t>
        </is>
      </c>
      <c r="C56" s="25" t="n">
        <v>8</v>
      </c>
      <c r="D56" s="25">
        <f>VLOOKUP(B56,Upgrade_Params!$A$4:$K$23,3,FALSE)</f>
        <v/>
      </c>
      <c r="E56" s="17">
        <f>ROUND(VLOOKUP(B56,Upgrade_Params!$A$4:$K$23,4,FALSE)*VLOOKUP(B56,Upgrade_Params!$A$4:$K$23,5,FALSE)^(C56-1),0)</f>
        <v/>
      </c>
      <c r="F56" s="17">
        <f>ROUND(VLOOKUP(B56,Upgrade_Params!$A$4:$K$23,6,FALSE)*VLOOKUP(B56,Upgrade_Params!$A$4:$K$23,7,FALSE)^(C56-1),0)</f>
        <v/>
      </c>
      <c r="G56" s="17">
        <f>SUMIFS($F$4:F56,$B$4:B56,B56)</f>
        <v/>
      </c>
      <c r="H56" s="19">
        <f>IFERROR(E56/F56,0)</f>
        <v/>
      </c>
      <c r="I56" s="20">
        <f>VLOOKUP(B56,Upgrade_Params!$A$4:$K$23,9,FALSE)</f>
        <v/>
      </c>
      <c r="J56" s="20">
        <f>VLOOKUP(B56,Upgrade_Params!$A$4:$K$23,10,FALSE)</f>
        <v/>
      </c>
      <c r="K56" s="26">
        <f>IF(D56&lt;=6,"Starter",IF(D56&lt;=15,"Midgame",IF(D56&lt;=28,"Late Midgame","Endgame")))</f>
        <v/>
      </c>
      <c r="L56" s="18">
        <f>IFERROR(F56/E56*1000,0)</f>
        <v/>
      </c>
    </row>
    <row r="57">
      <c r="A57" s="25">
        <f>VLOOKUP(B57,Upgrade_Params!$A$4:$K$23,2,FALSE)</f>
        <v/>
      </c>
      <c r="B57" s="20" t="inlineStr">
        <is>
          <t>Liquidity Pool</t>
        </is>
      </c>
      <c r="C57" s="25" t="n">
        <v>9</v>
      </c>
      <c r="D57" s="25">
        <f>VLOOKUP(B57,Upgrade_Params!$A$4:$K$23,3,FALSE)</f>
        <v/>
      </c>
      <c r="E57" s="17">
        <f>ROUND(VLOOKUP(B57,Upgrade_Params!$A$4:$K$23,4,FALSE)*VLOOKUP(B57,Upgrade_Params!$A$4:$K$23,5,FALSE)^(C57-1),0)</f>
        <v/>
      </c>
      <c r="F57" s="17">
        <f>ROUND(VLOOKUP(B57,Upgrade_Params!$A$4:$K$23,6,FALSE)*VLOOKUP(B57,Upgrade_Params!$A$4:$K$23,7,FALSE)^(C57-1),0)</f>
        <v/>
      </c>
      <c r="G57" s="17">
        <f>SUMIFS($F$4:F57,$B$4:B57,B57)</f>
        <v/>
      </c>
      <c r="H57" s="19">
        <f>IFERROR(E57/F57,0)</f>
        <v/>
      </c>
      <c r="I57" s="20">
        <f>VLOOKUP(B57,Upgrade_Params!$A$4:$K$23,9,FALSE)</f>
        <v/>
      </c>
      <c r="J57" s="20">
        <f>VLOOKUP(B57,Upgrade_Params!$A$4:$K$23,10,FALSE)</f>
        <v/>
      </c>
      <c r="K57" s="26">
        <f>IF(D57&lt;=6,"Starter",IF(D57&lt;=15,"Midgame",IF(D57&lt;=28,"Late Midgame","Endgame")))</f>
        <v/>
      </c>
      <c r="L57" s="18">
        <f>IFERROR(F57/E57*1000,0)</f>
        <v/>
      </c>
    </row>
    <row r="58">
      <c r="A58" s="25">
        <f>VLOOKUP(B58,Upgrade_Params!$A$4:$K$23,2,FALSE)</f>
        <v/>
      </c>
      <c r="B58" s="20" t="inlineStr">
        <is>
          <t>Liquidity Pool</t>
        </is>
      </c>
      <c r="C58" s="25" t="n">
        <v>10</v>
      </c>
      <c r="D58" s="25">
        <f>VLOOKUP(B58,Upgrade_Params!$A$4:$K$23,3,FALSE)</f>
        <v/>
      </c>
      <c r="E58" s="17">
        <f>ROUND(VLOOKUP(B58,Upgrade_Params!$A$4:$K$23,4,FALSE)*VLOOKUP(B58,Upgrade_Params!$A$4:$K$23,5,FALSE)^(C58-1),0)</f>
        <v/>
      </c>
      <c r="F58" s="17">
        <f>ROUND(VLOOKUP(B58,Upgrade_Params!$A$4:$K$23,6,FALSE)*VLOOKUP(B58,Upgrade_Params!$A$4:$K$23,7,FALSE)^(C58-1),0)</f>
        <v/>
      </c>
      <c r="G58" s="17">
        <f>SUMIFS($F$4:F58,$B$4:B58,B58)</f>
        <v/>
      </c>
      <c r="H58" s="19">
        <f>IFERROR(E58/F58,0)</f>
        <v/>
      </c>
      <c r="I58" s="20">
        <f>VLOOKUP(B58,Upgrade_Params!$A$4:$K$23,9,FALSE)</f>
        <v/>
      </c>
      <c r="J58" s="20">
        <f>VLOOKUP(B58,Upgrade_Params!$A$4:$K$23,10,FALSE)</f>
        <v/>
      </c>
      <c r="K58" s="26">
        <f>IF(D58&lt;=6,"Starter",IF(D58&lt;=15,"Midgame",IF(D58&lt;=28,"Late Midgame","Endgame")))</f>
        <v/>
      </c>
      <c r="L58" s="18">
        <f>IFERROR(F58/E58*1000,0)</f>
        <v/>
      </c>
    </row>
    <row r="59">
      <c r="A59" s="25">
        <f>VLOOKUP(B59,Upgrade_Params!$A$4:$K$23,2,FALSE)</f>
        <v/>
      </c>
      <c r="B59" s="20" t="inlineStr">
        <is>
          <t>Liquidity Pool</t>
        </is>
      </c>
      <c r="C59" s="25" t="n">
        <v>11</v>
      </c>
      <c r="D59" s="25">
        <f>VLOOKUP(B59,Upgrade_Params!$A$4:$K$23,3,FALSE)</f>
        <v/>
      </c>
      <c r="E59" s="17">
        <f>ROUND(VLOOKUP(B59,Upgrade_Params!$A$4:$K$23,4,FALSE)*VLOOKUP(B59,Upgrade_Params!$A$4:$K$23,5,FALSE)^(C59-1),0)</f>
        <v/>
      </c>
      <c r="F59" s="17">
        <f>ROUND(VLOOKUP(B59,Upgrade_Params!$A$4:$K$23,6,FALSE)*VLOOKUP(B59,Upgrade_Params!$A$4:$K$23,7,FALSE)^(C59-1),0)</f>
        <v/>
      </c>
      <c r="G59" s="17">
        <f>SUMIFS($F$4:F59,$B$4:B59,B59)</f>
        <v/>
      </c>
      <c r="H59" s="19">
        <f>IFERROR(E59/F59,0)</f>
        <v/>
      </c>
      <c r="I59" s="20">
        <f>VLOOKUP(B59,Upgrade_Params!$A$4:$K$23,9,FALSE)</f>
        <v/>
      </c>
      <c r="J59" s="20">
        <f>VLOOKUP(B59,Upgrade_Params!$A$4:$K$23,10,FALSE)</f>
        <v/>
      </c>
      <c r="K59" s="26">
        <f>IF(D59&lt;=6,"Starter",IF(D59&lt;=15,"Midgame",IF(D59&lt;=28,"Late Midgame","Endgame")))</f>
        <v/>
      </c>
      <c r="L59" s="18">
        <f>IFERROR(F59/E59*1000,0)</f>
        <v/>
      </c>
    </row>
    <row r="60">
      <c r="A60" s="25">
        <f>VLOOKUP(B60,Upgrade_Params!$A$4:$K$23,2,FALSE)</f>
        <v/>
      </c>
      <c r="B60" s="20" t="inlineStr">
        <is>
          <t>Liquidity Pool</t>
        </is>
      </c>
      <c r="C60" s="25" t="n">
        <v>12</v>
      </c>
      <c r="D60" s="25">
        <f>VLOOKUP(B60,Upgrade_Params!$A$4:$K$23,3,FALSE)</f>
        <v/>
      </c>
      <c r="E60" s="17">
        <f>ROUND(VLOOKUP(B60,Upgrade_Params!$A$4:$K$23,4,FALSE)*VLOOKUP(B60,Upgrade_Params!$A$4:$K$23,5,FALSE)^(C60-1),0)</f>
        <v/>
      </c>
      <c r="F60" s="17">
        <f>ROUND(VLOOKUP(B60,Upgrade_Params!$A$4:$K$23,6,FALSE)*VLOOKUP(B60,Upgrade_Params!$A$4:$K$23,7,FALSE)^(C60-1),0)</f>
        <v/>
      </c>
      <c r="G60" s="17">
        <f>SUMIFS($F$4:F60,$B$4:B60,B60)</f>
        <v/>
      </c>
      <c r="H60" s="19">
        <f>IFERROR(E60/F60,0)</f>
        <v/>
      </c>
      <c r="I60" s="20">
        <f>VLOOKUP(B60,Upgrade_Params!$A$4:$K$23,9,FALSE)</f>
        <v/>
      </c>
      <c r="J60" s="20">
        <f>VLOOKUP(B60,Upgrade_Params!$A$4:$K$23,10,FALSE)</f>
        <v/>
      </c>
      <c r="K60" s="26">
        <f>IF(D60&lt;=6,"Starter",IF(D60&lt;=15,"Midgame",IF(D60&lt;=28,"Late Midgame","Endgame")))</f>
        <v/>
      </c>
      <c r="L60" s="18">
        <f>IFERROR(F60/E60*1000,0)</f>
        <v/>
      </c>
    </row>
    <row r="61">
      <c r="A61" s="25">
        <f>VLOOKUP(B61,Upgrade_Params!$A$4:$K$23,2,FALSE)</f>
        <v/>
      </c>
      <c r="B61" s="20" t="inlineStr">
        <is>
          <t>Liquidity Pool</t>
        </is>
      </c>
      <c r="C61" s="25" t="n">
        <v>13</v>
      </c>
      <c r="D61" s="25">
        <f>VLOOKUP(B61,Upgrade_Params!$A$4:$K$23,3,FALSE)</f>
        <v/>
      </c>
      <c r="E61" s="17">
        <f>ROUND(VLOOKUP(B61,Upgrade_Params!$A$4:$K$23,4,FALSE)*VLOOKUP(B61,Upgrade_Params!$A$4:$K$23,5,FALSE)^(C61-1),0)</f>
        <v/>
      </c>
      <c r="F61" s="17">
        <f>ROUND(VLOOKUP(B61,Upgrade_Params!$A$4:$K$23,6,FALSE)*VLOOKUP(B61,Upgrade_Params!$A$4:$K$23,7,FALSE)^(C61-1),0)</f>
        <v/>
      </c>
      <c r="G61" s="17">
        <f>SUMIFS($F$4:F61,$B$4:B61,B61)</f>
        <v/>
      </c>
      <c r="H61" s="19">
        <f>IFERROR(E61/F61,0)</f>
        <v/>
      </c>
      <c r="I61" s="20">
        <f>VLOOKUP(B61,Upgrade_Params!$A$4:$K$23,9,FALSE)</f>
        <v/>
      </c>
      <c r="J61" s="20">
        <f>VLOOKUP(B61,Upgrade_Params!$A$4:$K$23,10,FALSE)</f>
        <v/>
      </c>
      <c r="K61" s="26">
        <f>IF(D61&lt;=6,"Starter",IF(D61&lt;=15,"Midgame",IF(D61&lt;=28,"Late Midgame","Endgame")))</f>
        <v/>
      </c>
      <c r="L61" s="18">
        <f>IFERROR(F61/E61*1000,0)</f>
        <v/>
      </c>
    </row>
    <row r="62">
      <c r="A62" s="25">
        <f>VLOOKUP(B62,Upgrade_Params!$A$4:$K$23,2,FALSE)</f>
        <v/>
      </c>
      <c r="B62" s="20" t="inlineStr">
        <is>
          <t>Liquidity Pool</t>
        </is>
      </c>
      <c r="C62" s="25" t="n">
        <v>14</v>
      </c>
      <c r="D62" s="25">
        <f>VLOOKUP(B62,Upgrade_Params!$A$4:$K$23,3,FALSE)</f>
        <v/>
      </c>
      <c r="E62" s="17">
        <f>ROUND(VLOOKUP(B62,Upgrade_Params!$A$4:$K$23,4,FALSE)*VLOOKUP(B62,Upgrade_Params!$A$4:$K$23,5,FALSE)^(C62-1),0)</f>
        <v/>
      </c>
      <c r="F62" s="17">
        <f>ROUND(VLOOKUP(B62,Upgrade_Params!$A$4:$K$23,6,FALSE)*VLOOKUP(B62,Upgrade_Params!$A$4:$K$23,7,FALSE)^(C62-1),0)</f>
        <v/>
      </c>
      <c r="G62" s="17">
        <f>SUMIFS($F$4:F62,$B$4:B62,B62)</f>
        <v/>
      </c>
      <c r="H62" s="19">
        <f>IFERROR(E62/F62,0)</f>
        <v/>
      </c>
      <c r="I62" s="20">
        <f>VLOOKUP(B62,Upgrade_Params!$A$4:$K$23,9,FALSE)</f>
        <v/>
      </c>
      <c r="J62" s="20">
        <f>VLOOKUP(B62,Upgrade_Params!$A$4:$K$23,10,FALSE)</f>
        <v/>
      </c>
      <c r="K62" s="26">
        <f>IF(D62&lt;=6,"Starter",IF(D62&lt;=15,"Midgame",IF(D62&lt;=28,"Late Midgame","Endgame")))</f>
        <v/>
      </c>
      <c r="L62" s="18">
        <f>IFERROR(F62/E62*1000,0)</f>
        <v/>
      </c>
    </row>
    <row r="63">
      <c r="A63" s="25">
        <f>VLOOKUP(B63,Upgrade_Params!$A$4:$K$23,2,FALSE)</f>
        <v/>
      </c>
      <c r="B63" s="20" t="inlineStr">
        <is>
          <t>Liquidity Pool</t>
        </is>
      </c>
      <c r="C63" s="25" t="n">
        <v>15</v>
      </c>
      <c r="D63" s="25">
        <f>VLOOKUP(B63,Upgrade_Params!$A$4:$K$23,3,FALSE)</f>
        <v/>
      </c>
      <c r="E63" s="17">
        <f>ROUND(VLOOKUP(B63,Upgrade_Params!$A$4:$K$23,4,FALSE)*VLOOKUP(B63,Upgrade_Params!$A$4:$K$23,5,FALSE)^(C63-1),0)</f>
        <v/>
      </c>
      <c r="F63" s="17">
        <f>ROUND(VLOOKUP(B63,Upgrade_Params!$A$4:$K$23,6,FALSE)*VLOOKUP(B63,Upgrade_Params!$A$4:$K$23,7,FALSE)^(C63-1),0)</f>
        <v/>
      </c>
      <c r="G63" s="17">
        <f>SUMIFS($F$4:F63,$B$4:B63,B63)</f>
        <v/>
      </c>
      <c r="H63" s="19">
        <f>IFERROR(E63/F63,0)</f>
        <v/>
      </c>
      <c r="I63" s="20">
        <f>VLOOKUP(B63,Upgrade_Params!$A$4:$K$23,9,FALSE)</f>
        <v/>
      </c>
      <c r="J63" s="20">
        <f>VLOOKUP(B63,Upgrade_Params!$A$4:$K$23,10,FALSE)</f>
        <v/>
      </c>
      <c r="K63" s="26">
        <f>IF(D63&lt;=6,"Starter",IF(D63&lt;=15,"Midgame",IF(D63&lt;=28,"Late Midgame","Endgame")))</f>
        <v/>
      </c>
      <c r="L63" s="18">
        <f>IFERROR(F63/E63*1000,0)</f>
        <v/>
      </c>
    </row>
    <row r="64">
      <c r="A64" s="25">
        <f>VLOOKUP(B64,Upgrade_Params!$A$4:$K$23,2,FALSE)</f>
        <v/>
      </c>
      <c r="B64" s="20" t="inlineStr">
        <is>
          <t>Streak Vault</t>
        </is>
      </c>
      <c r="C64" s="25" t="n">
        <v>1</v>
      </c>
      <c r="D64" s="25">
        <f>VLOOKUP(B64,Upgrade_Params!$A$4:$K$23,3,FALSE)</f>
        <v/>
      </c>
      <c r="E64" s="17">
        <f>ROUND(VLOOKUP(B64,Upgrade_Params!$A$4:$K$23,4,FALSE)*VLOOKUP(B64,Upgrade_Params!$A$4:$K$23,5,FALSE)^(C64-1),0)</f>
        <v/>
      </c>
      <c r="F64" s="17">
        <f>ROUND(VLOOKUP(B64,Upgrade_Params!$A$4:$K$23,6,FALSE)*VLOOKUP(B64,Upgrade_Params!$A$4:$K$23,7,FALSE)^(C64-1),0)</f>
        <v/>
      </c>
      <c r="G64" s="17">
        <f>SUMIFS($F$4:F64,$B$4:B64,B64)</f>
        <v/>
      </c>
      <c r="H64" s="19">
        <f>IFERROR(E64/F64,0)</f>
        <v/>
      </c>
      <c r="I64" s="20">
        <f>VLOOKUP(B64,Upgrade_Params!$A$4:$K$23,9,FALSE)</f>
        <v/>
      </c>
      <c r="J64" s="20">
        <f>VLOOKUP(B64,Upgrade_Params!$A$4:$K$23,10,FALSE)</f>
        <v/>
      </c>
      <c r="K64" s="26">
        <f>IF(D64&lt;=6,"Starter",IF(D64&lt;=15,"Midgame",IF(D64&lt;=28,"Late Midgame","Endgame")))</f>
        <v/>
      </c>
      <c r="L64" s="18">
        <f>IFERROR(F64/E64*1000,0)</f>
        <v/>
      </c>
    </row>
    <row r="65">
      <c r="A65" s="25">
        <f>VLOOKUP(B65,Upgrade_Params!$A$4:$K$23,2,FALSE)</f>
        <v/>
      </c>
      <c r="B65" s="20" t="inlineStr">
        <is>
          <t>Streak Vault</t>
        </is>
      </c>
      <c r="C65" s="25" t="n">
        <v>2</v>
      </c>
      <c r="D65" s="25">
        <f>VLOOKUP(B65,Upgrade_Params!$A$4:$K$23,3,FALSE)</f>
        <v/>
      </c>
      <c r="E65" s="17">
        <f>ROUND(VLOOKUP(B65,Upgrade_Params!$A$4:$K$23,4,FALSE)*VLOOKUP(B65,Upgrade_Params!$A$4:$K$23,5,FALSE)^(C65-1),0)</f>
        <v/>
      </c>
      <c r="F65" s="17">
        <f>ROUND(VLOOKUP(B65,Upgrade_Params!$A$4:$K$23,6,FALSE)*VLOOKUP(B65,Upgrade_Params!$A$4:$K$23,7,FALSE)^(C65-1),0)</f>
        <v/>
      </c>
      <c r="G65" s="17">
        <f>SUMIFS($F$4:F65,$B$4:B65,B65)</f>
        <v/>
      </c>
      <c r="H65" s="19">
        <f>IFERROR(E65/F65,0)</f>
        <v/>
      </c>
      <c r="I65" s="20">
        <f>VLOOKUP(B65,Upgrade_Params!$A$4:$K$23,9,FALSE)</f>
        <v/>
      </c>
      <c r="J65" s="20">
        <f>VLOOKUP(B65,Upgrade_Params!$A$4:$K$23,10,FALSE)</f>
        <v/>
      </c>
      <c r="K65" s="26">
        <f>IF(D65&lt;=6,"Starter",IF(D65&lt;=15,"Midgame",IF(D65&lt;=28,"Late Midgame","Endgame")))</f>
        <v/>
      </c>
      <c r="L65" s="18">
        <f>IFERROR(F65/E65*1000,0)</f>
        <v/>
      </c>
    </row>
    <row r="66">
      <c r="A66" s="25">
        <f>VLOOKUP(B66,Upgrade_Params!$A$4:$K$23,2,FALSE)</f>
        <v/>
      </c>
      <c r="B66" s="20" t="inlineStr">
        <is>
          <t>Streak Vault</t>
        </is>
      </c>
      <c r="C66" s="25" t="n">
        <v>3</v>
      </c>
      <c r="D66" s="25">
        <f>VLOOKUP(B66,Upgrade_Params!$A$4:$K$23,3,FALSE)</f>
        <v/>
      </c>
      <c r="E66" s="17">
        <f>ROUND(VLOOKUP(B66,Upgrade_Params!$A$4:$K$23,4,FALSE)*VLOOKUP(B66,Upgrade_Params!$A$4:$K$23,5,FALSE)^(C66-1),0)</f>
        <v/>
      </c>
      <c r="F66" s="17">
        <f>ROUND(VLOOKUP(B66,Upgrade_Params!$A$4:$K$23,6,FALSE)*VLOOKUP(B66,Upgrade_Params!$A$4:$K$23,7,FALSE)^(C66-1),0)</f>
        <v/>
      </c>
      <c r="G66" s="17">
        <f>SUMIFS($F$4:F66,$B$4:B66,B66)</f>
        <v/>
      </c>
      <c r="H66" s="19">
        <f>IFERROR(E66/F66,0)</f>
        <v/>
      </c>
      <c r="I66" s="20">
        <f>VLOOKUP(B66,Upgrade_Params!$A$4:$K$23,9,FALSE)</f>
        <v/>
      </c>
      <c r="J66" s="20">
        <f>VLOOKUP(B66,Upgrade_Params!$A$4:$K$23,10,FALSE)</f>
        <v/>
      </c>
      <c r="K66" s="26">
        <f>IF(D66&lt;=6,"Starter",IF(D66&lt;=15,"Midgame",IF(D66&lt;=28,"Late Midgame","Endgame")))</f>
        <v/>
      </c>
      <c r="L66" s="18">
        <f>IFERROR(F66/E66*1000,0)</f>
        <v/>
      </c>
    </row>
    <row r="67">
      <c r="A67" s="25">
        <f>VLOOKUP(B67,Upgrade_Params!$A$4:$K$23,2,FALSE)</f>
        <v/>
      </c>
      <c r="B67" s="20" t="inlineStr">
        <is>
          <t>Streak Vault</t>
        </is>
      </c>
      <c r="C67" s="25" t="n">
        <v>4</v>
      </c>
      <c r="D67" s="25">
        <f>VLOOKUP(B67,Upgrade_Params!$A$4:$K$23,3,FALSE)</f>
        <v/>
      </c>
      <c r="E67" s="17">
        <f>ROUND(VLOOKUP(B67,Upgrade_Params!$A$4:$K$23,4,FALSE)*VLOOKUP(B67,Upgrade_Params!$A$4:$K$23,5,FALSE)^(C67-1),0)</f>
        <v/>
      </c>
      <c r="F67" s="17">
        <f>ROUND(VLOOKUP(B67,Upgrade_Params!$A$4:$K$23,6,FALSE)*VLOOKUP(B67,Upgrade_Params!$A$4:$K$23,7,FALSE)^(C67-1),0)</f>
        <v/>
      </c>
      <c r="G67" s="17">
        <f>SUMIFS($F$4:F67,$B$4:B67,B67)</f>
        <v/>
      </c>
      <c r="H67" s="19">
        <f>IFERROR(E67/F67,0)</f>
        <v/>
      </c>
      <c r="I67" s="20">
        <f>VLOOKUP(B67,Upgrade_Params!$A$4:$K$23,9,FALSE)</f>
        <v/>
      </c>
      <c r="J67" s="20">
        <f>VLOOKUP(B67,Upgrade_Params!$A$4:$K$23,10,FALSE)</f>
        <v/>
      </c>
      <c r="K67" s="26">
        <f>IF(D67&lt;=6,"Starter",IF(D67&lt;=15,"Midgame",IF(D67&lt;=28,"Late Midgame","Endgame")))</f>
        <v/>
      </c>
      <c r="L67" s="18">
        <f>IFERROR(F67/E67*1000,0)</f>
        <v/>
      </c>
    </row>
    <row r="68">
      <c r="A68" s="25">
        <f>VLOOKUP(B68,Upgrade_Params!$A$4:$K$23,2,FALSE)</f>
        <v/>
      </c>
      <c r="B68" s="20" t="inlineStr">
        <is>
          <t>Streak Vault</t>
        </is>
      </c>
      <c r="C68" s="25" t="n">
        <v>5</v>
      </c>
      <c r="D68" s="25">
        <f>VLOOKUP(B68,Upgrade_Params!$A$4:$K$23,3,FALSE)</f>
        <v/>
      </c>
      <c r="E68" s="17">
        <f>ROUND(VLOOKUP(B68,Upgrade_Params!$A$4:$K$23,4,FALSE)*VLOOKUP(B68,Upgrade_Params!$A$4:$K$23,5,FALSE)^(C68-1),0)</f>
        <v/>
      </c>
      <c r="F68" s="17">
        <f>ROUND(VLOOKUP(B68,Upgrade_Params!$A$4:$K$23,6,FALSE)*VLOOKUP(B68,Upgrade_Params!$A$4:$K$23,7,FALSE)^(C68-1),0)</f>
        <v/>
      </c>
      <c r="G68" s="17">
        <f>SUMIFS($F$4:F68,$B$4:B68,B68)</f>
        <v/>
      </c>
      <c r="H68" s="19">
        <f>IFERROR(E68/F68,0)</f>
        <v/>
      </c>
      <c r="I68" s="20">
        <f>VLOOKUP(B68,Upgrade_Params!$A$4:$K$23,9,FALSE)</f>
        <v/>
      </c>
      <c r="J68" s="20">
        <f>VLOOKUP(B68,Upgrade_Params!$A$4:$K$23,10,FALSE)</f>
        <v/>
      </c>
      <c r="K68" s="26">
        <f>IF(D68&lt;=6,"Starter",IF(D68&lt;=15,"Midgame",IF(D68&lt;=28,"Late Midgame","Endgame")))</f>
        <v/>
      </c>
      <c r="L68" s="18">
        <f>IFERROR(F68/E68*1000,0)</f>
        <v/>
      </c>
    </row>
    <row r="69">
      <c r="A69" s="25">
        <f>VLOOKUP(B69,Upgrade_Params!$A$4:$K$23,2,FALSE)</f>
        <v/>
      </c>
      <c r="B69" s="20" t="inlineStr">
        <is>
          <t>Streak Vault</t>
        </is>
      </c>
      <c r="C69" s="25" t="n">
        <v>6</v>
      </c>
      <c r="D69" s="25">
        <f>VLOOKUP(B69,Upgrade_Params!$A$4:$K$23,3,FALSE)</f>
        <v/>
      </c>
      <c r="E69" s="17">
        <f>ROUND(VLOOKUP(B69,Upgrade_Params!$A$4:$K$23,4,FALSE)*VLOOKUP(B69,Upgrade_Params!$A$4:$K$23,5,FALSE)^(C69-1),0)</f>
        <v/>
      </c>
      <c r="F69" s="17">
        <f>ROUND(VLOOKUP(B69,Upgrade_Params!$A$4:$K$23,6,FALSE)*VLOOKUP(B69,Upgrade_Params!$A$4:$K$23,7,FALSE)^(C69-1),0)</f>
        <v/>
      </c>
      <c r="G69" s="17">
        <f>SUMIFS($F$4:F69,$B$4:B69,B69)</f>
        <v/>
      </c>
      <c r="H69" s="19">
        <f>IFERROR(E69/F69,0)</f>
        <v/>
      </c>
      <c r="I69" s="20">
        <f>VLOOKUP(B69,Upgrade_Params!$A$4:$K$23,9,FALSE)</f>
        <v/>
      </c>
      <c r="J69" s="20">
        <f>VLOOKUP(B69,Upgrade_Params!$A$4:$K$23,10,FALSE)</f>
        <v/>
      </c>
      <c r="K69" s="26">
        <f>IF(D69&lt;=6,"Starter",IF(D69&lt;=15,"Midgame",IF(D69&lt;=28,"Late Midgame","Endgame")))</f>
        <v/>
      </c>
      <c r="L69" s="18">
        <f>IFERROR(F69/E69*1000,0)</f>
        <v/>
      </c>
    </row>
    <row r="70">
      <c r="A70" s="25">
        <f>VLOOKUP(B70,Upgrade_Params!$A$4:$K$23,2,FALSE)</f>
        <v/>
      </c>
      <c r="B70" s="20" t="inlineStr">
        <is>
          <t>Streak Vault</t>
        </is>
      </c>
      <c r="C70" s="25" t="n">
        <v>7</v>
      </c>
      <c r="D70" s="25">
        <f>VLOOKUP(B70,Upgrade_Params!$A$4:$K$23,3,FALSE)</f>
        <v/>
      </c>
      <c r="E70" s="17">
        <f>ROUND(VLOOKUP(B70,Upgrade_Params!$A$4:$K$23,4,FALSE)*VLOOKUP(B70,Upgrade_Params!$A$4:$K$23,5,FALSE)^(C70-1),0)</f>
        <v/>
      </c>
      <c r="F70" s="17">
        <f>ROUND(VLOOKUP(B70,Upgrade_Params!$A$4:$K$23,6,FALSE)*VLOOKUP(B70,Upgrade_Params!$A$4:$K$23,7,FALSE)^(C70-1),0)</f>
        <v/>
      </c>
      <c r="G70" s="17">
        <f>SUMIFS($F$4:F70,$B$4:B70,B70)</f>
        <v/>
      </c>
      <c r="H70" s="19">
        <f>IFERROR(E70/F70,0)</f>
        <v/>
      </c>
      <c r="I70" s="20">
        <f>VLOOKUP(B70,Upgrade_Params!$A$4:$K$23,9,FALSE)</f>
        <v/>
      </c>
      <c r="J70" s="20">
        <f>VLOOKUP(B70,Upgrade_Params!$A$4:$K$23,10,FALSE)</f>
        <v/>
      </c>
      <c r="K70" s="26">
        <f>IF(D70&lt;=6,"Starter",IF(D70&lt;=15,"Midgame",IF(D70&lt;=28,"Late Midgame","Endgame")))</f>
        <v/>
      </c>
      <c r="L70" s="18">
        <f>IFERROR(F70/E70*1000,0)</f>
        <v/>
      </c>
    </row>
    <row r="71">
      <c r="A71" s="25">
        <f>VLOOKUP(B71,Upgrade_Params!$A$4:$K$23,2,FALSE)</f>
        <v/>
      </c>
      <c r="B71" s="20" t="inlineStr">
        <is>
          <t>Streak Vault</t>
        </is>
      </c>
      <c r="C71" s="25" t="n">
        <v>8</v>
      </c>
      <c r="D71" s="25">
        <f>VLOOKUP(B71,Upgrade_Params!$A$4:$K$23,3,FALSE)</f>
        <v/>
      </c>
      <c r="E71" s="17">
        <f>ROUND(VLOOKUP(B71,Upgrade_Params!$A$4:$K$23,4,FALSE)*VLOOKUP(B71,Upgrade_Params!$A$4:$K$23,5,FALSE)^(C71-1),0)</f>
        <v/>
      </c>
      <c r="F71" s="17">
        <f>ROUND(VLOOKUP(B71,Upgrade_Params!$A$4:$K$23,6,FALSE)*VLOOKUP(B71,Upgrade_Params!$A$4:$K$23,7,FALSE)^(C71-1),0)</f>
        <v/>
      </c>
      <c r="G71" s="17">
        <f>SUMIFS($F$4:F71,$B$4:B71,B71)</f>
        <v/>
      </c>
      <c r="H71" s="19">
        <f>IFERROR(E71/F71,0)</f>
        <v/>
      </c>
      <c r="I71" s="20">
        <f>VLOOKUP(B71,Upgrade_Params!$A$4:$K$23,9,FALSE)</f>
        <v/>
      </c>
      <c r="J71" s="20">
        <f>VLOOKUP(B71,Upgrade_Params!$A$4:$K$23,10,FALSE)</f>
        <v/>
      </c>
      <c r="K71" s="26">
        <f>IF(D71&lt;=6,"Starter",IF(D71&lt;=15,"Midgame",IF(D71&lt;=28,"Late Midgame","Endgame")))</f>
        <v/>
      </c>
      <c r="L71" s="18">
        <f>IFERROR(F71/E71*1000,0)</f>
        <v/>
      </c>
    </row>
    <row r="72">
      <c r="A72" s="25">
        <f>VLOOKUP(B72,Upgrade_Params!$A$4:$K$23,2,FALSE)</f>
        <v/>
      </c>
      <c r="B72" s="20" t="inlineStr">
        <is>
          <t>Streak Vault</t>
        </is>
      </c>
      <c r="C72" s="25" t="n">
        <v>9</v>
      </c>
      <c r="D72" s="25">
        <f>VLOOKUP(B72,Upgrade_Params!$A$4:$K$23,3,FALSE)</f>
        <v/>
      </c>
      <c r="E72" s="17">
        <f>ROUND(VLOOKUP(B72,Upgrade_Params!$A$4:$K$23,4,FALSE)*VLOOKUP(B72,Upgrade_Params!$A$4:$K$23,5,FALSE)^(C72-1),0)</f>
        <v/>
      </c>
      <c r="F72" s="17">
        <f>ROUND(VLOOKUP(B72,Upgrade_Params!$A$4:$K$23,6,FALSE)*VLOOKUP(B72,Upgrade_Params!$A$4:$K$23,7,FALSE)^(C72-1),0)</f>
        <v/>
      </c>
      <c r="G72" s="17">
        <f>SUMIFS($F$4:F72,$B$4:B72,B72)</f>
        <v/>
      </c>
      <c r="H72" s="19">
        <f>IFERROR(E72/F72,0)</f>
        <v/>
      </c>
      <c r="I72" s="20">
        <f>VLOOKUP(B72,Upgrade_Params!$A$4:$K$23,9,FALSE)</f>
        <v/>
      </c>
      <c r="J72" s="20">
        <f>VLOOKUP(B72,Upgrade_Params!$A$4:$K$23,10,FALSE)</f>
        <v/>
      </c>
      <c r="K72" s="26">
        <f>IF(D72&lt;=6,"Starter",IF(D72&lt;=15,"Midgame",IF(D72&lt;=28,"Late Midgame","Endgame")))</f>
        <v/>
      </c>
      <c r="L72" s="18">
        <f>IFERROR(F72/E72*1000,0)</f>
        <v/>
      </c>
    </row>
    <row r="73">
      <c r="A73" s="25">
        <f>VLOOKUP(B73,Upgrade_Params!$A$4:$K$23,2,FALSE)</f>
        <v/>
      </c>
      <c r="B73" s="20" t="inlineStr">
        <is>
          <t>Streak Vault</t>
        </is>
      </c>
      <c r="C73" s="25" t="n">
        <v>10</v>
      </c>
      <c r="D73" s="25">
        <f>VLOOKUP(B73,Upgrade_Params!$A$4:$K$23,3,FALSE)</f>
        <v/>
      </c>
      <c r="E73" s="17">
        <f>ROUND(VLOOKUP(B73,Upgrade_Params!$A$4:$K$23,4,FALSE)*VLOOKUP(B73,Upgrade_Params!$A$4:$K$23,5,FALSE)^(C73-1),0)</f>
        <v/>
      </c>
      <c r="F73" s="17">
        <f>ROUND(VLOOKUP(B73,Upgrade_Params!$A$4:$K$23,6,FALSE)*VLOOKUP(B73,Upgrade_Params!$A$4:$K$23,7,FALSE)^(C73-1),0)</f>
        <v/>
      </c>
      <c r="G73" s="17">
        <f>SUMIFS($F$4:F73,$B$4:B73,B73)</f>
        <v/>
      </c>
      <c r="H73" s="19">
        <f>IFERROR(E73/F73,0)</f>
        <v/>
      </c>
      <c r="I73" s="20">
        <f>VLOOKUP(B73,Upgrade_Params!$A$4:$K$23,9,FALSE)</f>
        <v/>
      </c>
      <c r="J73" s="20">
        <f>VLOOKUP(B73,Upgrade_Params!$A$4:$K$23,10,FALSE)</f>
        <v/>
      </c>
      <c r="K73" s="26">
        <f>IF(D73&lt;=6,"Starter",IF(D73&lt;=15,"Midgame",IF(D73&lt;=28,"Late Midgame","Endgame")))</f>
        <v/>
      </c>
      <c r="L73" s="18">
        <f>IFERROR(F73/E73*1000,0)</f>
        <v/>
      </c>
    </row>
    <row r="74">
      <c r="A74" s="25">
        <f>VLOOKUP(B74,Upgrade_Params!$A$4:$K$23,2,FALSE)</f>
        <v/>
      </c>
      <c r="B74" s="20" t="inlineStr">
        <is>
          <t>Streak Vault</t>
        </is>
      </c>
      <c r="C74" s="25" t="n">
        <v>11</v>
      </c>
      <c r="D74" s="25">
        <f>VLOOKUP(B74,Upgrade_Params!$A$4:$K$23,3,FALSE)</f>
        <v/>
      </c>
      <c r="E74" s="17">
        <f>ROUND(VLOOKUP(B74,Upgrade_Params!$A$4:$K$23,4,FALSE)*VLOOKUP(B74,Upgrade_Params!$A$4:$K$23,5,FALSE)^(C74-1),0)</f>
        <v/>
      </c>
      <c r="F74" s="17">
        <f>ROUND(VLOOKUP(B74,Upgrade_Params!$A$4:$K$23,6,FALSE)*VLOOKUP(B74,Upgrade_Params!$A$4:$K$23,7,FALSE)^(C74-1),0)</f>
        <v/>
      </c>
      <c r="G74" s="17">
        <f>SUMIFS($F$4:F74,$B$4:B74,B74)</f>
        <v/>
      </c>
      <c r="H74" s="19">
        <f>IFERROR(E74/F74,0)</f>
        <v/>
      </c>
      <c r="I74" s="20">
        <f>VLOOKUP(B74,Upgrade_Params!$A$4:$K$23,9,FALSE)</f>
        <v/>
      </c>
      <c r="J74" s="20">
        <f>VLOOKUP(B74,Upgrade_Params!$A$4:$K$23,10,FALSE)</f>
        <v/>
      </c>
      <c r="K74" s="26">
        <f>IF(D74&lt;=6,"Starter",IF(D74&lt;=15,"Midgame",IF(D74&lt;=28,"Late Midgame","Endgame")))</f>
        <v/>
      </c>
      <c r="L74" s="18">
        <f>IFERROR(F74/E74*1000,0)</f>
        <v/>
      </c>
    </row>
    <row r="75">
      <c r="A75" s="25">
        <f>VLOOKUP(B75,Upgrade_Params!$A$4:$K$23,2,FALSE)</f>
        <v/>
      </c>
      <c r="B75" s="20" t="inlineStr">
        <is>
          <t>Streak Vault</t>
        </is>
      </c>
      <c r="C75" s="25" t="n">
        <v>12</v>
      </c>
      <c r="D75" s="25">
        <f>VLOOKUP(B75,Upgrade_Params!$A$4:$K$23,3,FALSE)</f>
        <v/>
      </c>
      <c r="E75" s="17">
        <f>ROUND(VLOOKUP(B75,Upgrade_Params!$A$4:$K$23,4,FALSE)*VLOOKUP(B75,Upgrade_Params!$A$4:$K$23,5,FALSE)^(C75-1),0)</f>
        <v/>
      </c>
      <c r="F75" s="17">
        <f>ROUND(VLOOKUP(B75,Upgrade_Params!$A$4:$K$23,6,FALSE)*VLOOKUP(B75,Upgrade_Params!$A$4:$K$23,7,FALSE)^(C75-1),0)</f>
        <v/>
      </c>
      <c r="G75" s="17">
        <f>SUMIFS($F$4:F75,$B$4:B75,B75)</f>
        <v/>
      </c>
      <c r="H75" s="19">
        <f>IFERROR(E75/F75,0)</f>
        <v/>
      </c>
      <c r="I75" s="20">
        <f>VLOOKUP(B75,Upgrade_Params!$A$4:$K$23,9,FALSE)</f>
        <v/>
      </c>
      <c r="J75" s="20">
        <f>VLOOKUP(B75,Upgrade_Params!$A$4:$K$23,10,FALSE)</f>
        <v/>
      </c>
      <c r="K75" s="26">
        <f>IF(D75&lt;=6,"Starter",IF(D75&lt;=15,"Midgame",IF(D75&lt;=28,"Late Midgame","Endgame")))</f>
        <v/>
      </c>
      <c r="L75" s="18">
        <f>IFERROR(F75/E75*1000,0)</f>
        <v/>
      </c>
    </row>
    <row r="76">
      <c r="A76" s="25">
        <f>VLOOKUP(B76,Upgrade_Params!$A$4:$K$23,2,FALSE)</f>
        <v/>
      </c>
      <c r="B76" s="20" t="inlineStr">
        <is>
          <t>Streak Vault</t>
        </is>
      </c>
      <c r="C76" s="25" t="n">
        <v>13</v>
      </c>
      <c r="D76" s="25">
        <f>VLOOKUP(B76,Upgrade_Params!$A$4:$K$23,3,FALSE)</f>
        <v/>
      </c>
      <c r="E76" s="17">
        <f>ROUND(VLOOKUP(B76,Upgrade_Params!$A$4:$K$23,4,FALSE)*VLOOKUP(B76,Upgrade_Params!$A$4:$K$23,5,FALSE)^(C76-1),0)</f>
        <v/>
      </c>
      <c r="F76" s="17">
        <f>ROUND(VLOOKUP(B76,Upgrade_Params!$A$4:$K$23,6,FALSE)*VLOOKUP(B76,Upgrade_Params!$A$4:$K$23,7,FALSE)^(C76-1),0)</f>
        <v/>
      </c>
      <c r="G76" s="17">
        <f>SUMIFS($F$4:F76,$B$4:B76,B76)</f>
        <v/>
      </c>
      <c r="H76" s="19">
        <f>IFERROR(E76/F76,0)</f>
        <v/>
      </c>
      <c r="I76" s="20">
        <f>VLOOKUP(B76,Upgrade_Params!$A$4:$K$23,9,FALSE)</f>
        <v/>
      </c>
      <c r="J76" s="20">
        <f>VLOOKUP(B76,Upgrade_Params!$A$4:$K$23,10,FALSE)</f>
        <v/>
      </c>
      <c r="K76" s="26">
        <f>IF(D76&lt;=6,"Starter",IF(D76&lt;=15,"Midgame",IF(D76&lt;=28,"Late Midgame","Endgame")))</f>
        <v/>
      </c>
      <c r="L76" s="18">
        <f>IFERROR(F76/E76*1000,0)</f>
        <v/>
      </c>
    </row>
    <row r="77">
      <c r="A77" s="25">
        <f>VLOOKUP(B77,Upgrade_Params!$A$4:$K$23,2,FALSE)</f>
        <v/>
      </c>
      <c r="B77" s="20" t="inlineStr">
        <is>
          <t>Streak Vault</t>
        </is>
      </c>
      <c r="C77" s="25" t="n">
        <v>14</v>
      </c>
      <c r="D77" s="25">
        <f>VLOOKUP(B77,Upgrade_Params!$A$4:$K$23,3,FALSE)</f>
        <v/>
      </c>
      <c r="E77" s="17">
        <f>ROUND(VLOOKUP(B77,Upgrade_Params!$A$4:$K$23,4,FALSE)*VLOOKUP(B77,Upgrade_Params!$A$4:$K$23,5,FALSE)^(C77-1),0)</f>
        <v/>
      </c>
      <c r="F77" s="17">
        <f>ROUND(VLOOKUP(B77,Upgrade_Params!$A$4:$K$23,6,FALSE)*VLOOKUP(B77,Upgrade_Params!$A$4:$K$23,7,FALSE)^(C77-1),0)</f>
        <v/>
      </c>
      <c r="G77" s="17">
        <f>SUMIFS($F$4:F77,$B$4:B77,B77)</f>
        <v/>
      </c>
      <c r="H77" s="19">
        <f>IFERROR(E77/F77,0)</f>
        <v/>
      </c>
      <c r="I77" s="20">
        <f>VLOOKUP(B77,Upgrade_Params!$A$4:$K$23,9,FALSE)</f>
        <v/>
      </c>
      <c r="J77" s="20">
        <f>VLOOKUP(B77,Upgrade_Params!$A$4:$K$23,10,FALSE)</f>
        <v/>
      </c>
      <c r="K77" s="26">
        <f>IF(D77&lt;=6,"Starter",IF(D77&lt;=15,"Midgame",IF(D77&lt;=28,"Late Midgame","Endgame")))</f>
        <v/>
      </c>
      <c r="L77" s="18">
        <f>IFERROR(F77/E77*1000,0)</f>
        <v/>
      </c>
    </row>
    <row r="78">
      <c r="A78" s="25">
        <f>VLOOKUP(B78,Upgrade_Params!$A$4:$K$23,2,FALSE)</f>
        <v/>
      </c>
      <c r="B78" s="20" t="inlineStr">
        <is>
          <t>Streak Vault</t>
        </is>
      </c>
      <c r="C78" s="25" t="n">
        <v>15</v>
      </c>
      <c r="D78" s="25">
        <f>VLOOKUP(B78,Upgrade_Params!$A$4:$K$23,3,FALSE)</f>
        <v/>
      </c>
      <c r="E78" s="17">
        <f>ROUND(VLOOKUP(B78,Upgrade_Params!$A$4:$K$23,4,FALSE)*VLOOKUP(B78,Upgrade_Params!$A$4:$K$23,5,FALSE)^(C78-1),0)</f>
        <v/>
      </c>
      <c r="F78" s="17">
        <f>ROUND(VLOOKUP(B78,Upgrade_Params!$A$4:$K$23,6,FALSE)*VLOOKUP(B78,Upgrade_Params!$A$4:$K$23,7,FALSE)^(C78-1),0)</f>
        <v/>
      </c>
      <c r="G78" s="17">
        <f>SUMIFS($F$4:F78,$B$4:B78,B78)</f>
        <v/>
      </c>
      <c r="H78" s="19">
        <f>IFERROR(E78/F78,0)</f>
        <v/>
      </c>
      <c r="I78" s="20">
        <f>VLOOKUP(B78,Upgrade_Params!$A$4:$K$23,9,FALSE)</f>
        <v/>
      </c>
      <c r="J78" s="20">
        <f>VLOOKUP(B78,Upgrade_Params!$A$4:$K$23,10,FALSE)</f>
        <v/>
      </c>
      <c r="K78" s="26">
        <f>IF(D78&lt;=6,"Starter",IF(D78&lt;=15,"Midgame",IF(D78&lt;=28,"Late Midgame","Endgame")))</f>
        <v/>
      </c>
      <c r="L78" s="18">
        <f>IFERROR(F78/E78*1000,0)</f>
        <v/>
      </c>
    </row>
    <row r="79">
      <c r="A79" s="25">
        <f>VLOOKUP(B79,Upgrade_Params!$A$4:$K$23,2,FALSE)</f>
        <v/>
      </c>
      <c r="B79" s="20" t="inlineStr">
        <is>
          <t>ASIC Vault</t>
        </is>
      </c>
      <c r="C79" s="25" t="n">
        <v>1</v>
      </c>
      <c r="D79" s="25">
        <f>VLOOKUP(B79,Upgrade_Params!$A$4:$K$23,3,FALSE)</f>
        <v/>
      </c>
      <c r="E79" s="17">
        <f>ROUND(VLOOKUP(B79,Upgrade_Params!$A$4:$K$23,4,FALSE)*VLOOKUP(B79,Upgrade_Params!$A$4:$K$23,5,FALSE)^(C79-1),0)</f>
        <v/>
      </c>
      <c r="F79" s="17">
        <f>ROUND(VLOOKUP(B79,Upgrade_Params!$A$4:$K$23,6,FALSE)*VLOOKUP(B79,Upgrade_Params!$A$4:$K$23,7,FALSE)^(C79-1),0)</f>
        <v/>
      </c>
      <c r="G79" s="17">
        <f>SUMIFS($F$4:F79,$B$4:B79,B79)</f>
        <v/>
      </c>
      <c r="H79" s="19">
        <f>IFERROR(E79/F79,0)</f>
        <v/>
      </c>
      <c r="I79" s="20">
        <f>VLOOKUP(B79,Upgrade_Params!$A$4:$K$23,9,FALSE)</f>
        <v/>
      </c>
      <c r="J79" s="20">
        <f>VLOOKUP(B79,Upgrade_Params!$A$4:$K$23,10,FALSE)</f>
        <v/>
      </c>
      <c r="K79" s="26">
        <f>IF(D79&lt;=6,"Starter",IF(D79&lt;=15,"Midgame",IF(D79&lt;=28,"Late Midgame","Endgame")))</f>
        <v/>
      </c>
      <c r="L79" s="18">
        <f>IFERROR(F79/E79*1000,0)</f>
        <v/>
      </c>
    </row>
    <row r="80">
      <c r="A80" s="25">
        <f>VLOOKUP(B80,Upgrade_Params!$A$4:$K$23,2,FALSE)</f>
        <v/>
      </c>
      <c r="B80" s="20" t="inlineStr">
        <is>
          <t>ASIC Vault</t>
        </is>
      </c>
      <c r="C80" s="25" t="n">
        <v>2</v>
      </c>
      <c r="D80" s="25">
        <f>VLOOKUP(B80,Upgrade_Params!$A$4:$K$23,3,FALSE)</f>
        <v/>
      </c>
      <c r="E80" s="17">
        <f>ROUND(VLOOKUP(B80,Upgrade_Params!$A$4:$K$23,4,FALSE)*VLOOKUP(B80,Upgrade_Params!$A$4:$K$23,5,FALSE)^(C80-1),0)</f>
        <v/>
      </c>
      <c r="F80" s="17">
        <f>ROUND(VLOOKUP(B80,Upgrade_Params!$A$4:$K$23,6,FALSE)*VLOOKUP(B80,Upgrade_Params!$A$4:$K$23,7,FALSE)^(C80-1),0)</f>
        <v/>
      </c>
      <c r="G80" s="17">
        <f>SUMIFS($F$4:F80,$B$4:B80,B80)</f>
        <v/>
      </c>
      <c r="H80" s="19">
        <f>IFERROR(E80/F80,0)</f>
        <v/>
      </c>
      <c r="I80" s="20">
        <f>VLOOKUP(B80,Upgrade_Params!$A$4:$K$23,9,FALSE)</f>
        <v/>
      </c>
      <c r="J80" s="20">
        <f>VLOOKUP(B80,Upgrade_Params!$A$4:$K$23,10,FALSE)</f>
        <v/>
      </c>
      <c r="K80" s="26">
        <f>IF(D80&lt;=6,"Starter",IF(D80&lt;=15,"Midgame",IF(D80&lt;=28,"Late Midgame","Endgame")))</f>
        <v/>
      </c>
      <c r="L80" s="18">
        <f>IFERROR(F80/E80*1000,0)</f>
        <v/>
      </c>
    </row>
    <row r="81">
      <c r="A81" s="25">
        <f>VLOOKUP(B81,Upgrade_Params!$A$4:$K$23,2,FALSE)</f>
        <v/>
      </c>
      <c r="B81" s="20" t="inlineStr">
        <is>
          <t>ASIC Vault</t>
        </is>
      </c>
      <c r="C81" s="25" t="n">
        <v>3</v>
      </c>
      <c r="D81" s="25">
        <f>VLOOKUP(B81,Upgrade_Params!$A$4:$K$23,3,FALSE)</f>
        <v/>
      </c>
      <c r="E81" s="17">
        <f>ROUND(VLOOKUP(B81,Upgrade_Params!$A$4:$K$23,4,FALSE)*VLOOKUP(B81,Upgrade_Params!$A$4:$K$23,5,FALSE)^(C81-1),0)</f>
        <v/>
      </c>
      <c r="F81" s="17">
        <f>ROUND(VLOOKUP(B81,Upgrade_Params!$A$4:$K$23,6,FALSE)*VLOOKUP(B81,Upgrade_Params!$A$4:$K$23,7,FALSE)^(C81-1),0)</f>
        <v/>
      </c>
      <c r="G81" s="17">
        <f>SUMIFS($F$4:F81,$B$4:B81,B81)</f>
        <v/>
      </c>
      <c r="H81" s="19">
        <f>IFERROR(E81/F81,0)</f>
        <v/>
      </c>
      <c r="I81" s="20">
        <f>VLOOKUP(B81,Upgrade_Params!$A$4:$K$23,9,FALSE)</f>
        <v/>
      </c>
      <c r="J81" s="20">
        <f>VLOOKUP(B81,Upgrade_Params!$A$4:$K$23,10,FALSE)</f>
        <v/>
      </c>
      <c r="K81" s="26">
        <f>IF(D81&lt;=6,"Starter",IF(D81&lt;=15,"Midgame",IF(D81&lt;=28,"Late Midgame","Endgame")))</f>
        <v/>
      </c>
      <c r="L81" s="18">
        <f>IFERROR(F81/E81*1000,0)</f>
        <v/>
      </c>
    </row>
    <row r="82">
      <c r="A82" s="25">
        <f>VLOOKUP(B82,Upgrade_Params!$A$4:$K$23,2,FALSE)</f>
        <v/>
      </c>
      <c r="B82" s="20" t="inlineStr">
        <is>
          <t>ASIC Vault</t>
        </is>
      </c>
      <c r="C82" s="25" t="n">
        <v>4</v>
      </c>
      <c r="D82" s="25">
        <f>VLOOKUP(B82,Upgrade_Params!$A$4:$K$23,3,FALSE)</f>
        <v/>
      </c>
      <c r="E82" s="17">
        <f>ROUND(VLOOKUP(B82,Upgrade_Params!$A$4:$K$23,4,FALSE)*VLOOKUP(B82,Upgrade_Params!$A$4:$K$23,5,FALSE)^(C82-1),0)</f>
        <v/>
      </c>
      <c r="F82" s="17">
        <f>ROUND(VLOOKUP(B82,Upgrade_Params!$A$4:$K$23,6,FALSE)*VLOOKUP(B82,Upgrade_Params!$A$4:$K$23,7,FALSE)^(C82-1),0)</f>
        <v/>
      </c>
      <c r="G82" s="17">
        <f>SUMIFS($F$4:F82,$B$4:B82,B82)</f>
        <v/>
      </c>
      <c r="H82" s="19">
        <f>IFERROR(E82/F82,0)</f>
        <v/>
      </c>
      <c r="I82" s="20">
        <f>VLOOKUP(B82,Upgrade_Params!$A$4:$K$23,9,FALSE)</f>
        <v/>
      </c>
      <c r="J82" s="20">
        <f>VLOOKUP(B82,Upgrade_Params!$A$4:$K$23,10,FALSE)</f>
        <v/>
      </c>
      <c r="K82" s="26">
        <f>IF(D82&lt;=6,"Starter",IF(D82&lt;=15,"Midgame",IF(D82&lt;=28,"Late Midgame","Endgame")))</f>
        <v/>
      </c>
      <c r="L82" s="18">
        <f>IFERROR(F82/E82*1000,0)</f>
        <v/>
      </c>
    </row>
    <row r="83">
      <c r="A83" s="25">
        <f>VLOOKUP(B83,Upgrade_Params!$A$4:$K$23,2,FALSE)</f>
        <v/>
      </c>
      <c r="B83" s="20" t="inlineStr">
        <is>
          <t>ASIC Vault</t>
        </is>
      </c>
      <c r="C83" s="25" t="n">
        <v>5</v>
      </c>
      <c r="D83" s="25">
        <f>VLOOKUP(B83,Upgrade_Params!$A$4:$K$23,3,FALSE)</f>
        <v/>
      </c>
      <c r="E83" s="17">
        <f>ROUND(VLOOKUP(B83,Upgrade_Params!$A$4:$K$23,4,FALSE)*VLOOKUP(B83,Upgrade_Params!$A$4:$K$23,5,FALSE)^(C83-1),0)</f>
        <v/>
      </c>
      <c r="F83" s="17">
        <f>ROUND(VLOOKUP(B83,Upgrade_Params!$A$4:$K$23,6,FALSE)*VLOOKUP(B83,Upgrade_Params!$A$4:$K$23,7,FALSE)^(C83-1),0)</f>
        <v/>
      </c>
      <c r="G83" s="17">
        <f>SUMIFS($F$4:F83,$B$4:B83,B83)</f>
        <v/>
      </c>
      <c r="H83" s="19">
        <f>IFERROR(E83/F83,0)</f>
        <v/>
      </c>
      <c r="I83" s="20">
        <f>VLOOKUP(B83,Upgrade_Params!$A$4:$K$23,9,FALSE)</f>
        <v/>
      </c>
      <c r="J83" s="20">
        <f>VLOOKUP(B83,Upgrade_Params!$A$4:$K$23,10,FALSE)</f>
        <v/>
      </c>
      <c r="K83" s="26">
        <f>IF(D83&lt;=6,"Starter",IF(D83&lt;=15,"Midgame",IF(D83&lt;=28,"Late Midgame","Endgame")))</f>
        <v/>
      </c>
      <c r="L83" s="18">
        <f>IFERROR(F83/E83*1000,0)</f>
        <v/>
      </c>
    </row>
    <row r="84">
      <c r="A84" s="25">
        <f>VLOOKUP(B84,Upgrade_Params!$A$4:$K$23,2,FALSE)</f>
        <v/>
      </c>
      <c r="B84" s="20" t="inlineStr">
        <is>
          <t>ASIC Vault</t>
        </is>
      </c>
      <c r="C84" s="25" t="n">
        <v>6</v>
      </c>
      <c r="D84" s="25">
        <f>VLOOKUP(B84,Upgrade_Params!$A$4:$K$23,3,FALSE)</f>
        <v/>
      </c>
      <c r="E84" s="17">
        <f>ROUND(VLOOKUP(B84,Upgrade_Params!$A$4:$K$23,4,FALSE)*VLOOKUP(B84,Upgrade_Params!$A$4:$K$23,5,FALSE)^(C84-1),0)</f>
        <v/>
      </c>
      <c r="F84" s="17">
        <f>ROUND(VLOOKUP(B84,Upgrade_Params!$A$4:$K$23,6,FALSE)*VLOOKUP(B84,Upgrade_Params!$A$4:$K$23,7,FALSE)^(C84-1),0)</f>
        <v/>
      </c>
      <c r="G84" s="17">
        <f>SUMIFS($F$4:F84,$B$4:B84,B84)</f>
        <v/>
      </c>
      <c r="H84" s="19">
        <f>IFERROR(E84/F84,0)</f>
        <v/>
      </c>
      <c r="I84" s="20">
        <f>VLOOKUP(B84,Upgrade_Params!$A$4:$K$23,9,FALSE)</f>
        <v/>
      </c>
      <c r="J84" s="20">
        <f>VLOOKUP(B84,Upgrade_Params!$A$4:$K$23,10,FALSE)</f>
        <v/>
      </c>
      <c r="K84" s="26">
        <f>IF(D84&lt;=6,"Starter",IF(D84&lt;=15,"Midgame",IF(D84&lt;=28,"Late Midgame","Endgame")))</f>
        <v/>
      </c>
      <c r="L84" s="18">
        <f>IFERROR(F84/E84*1000,0)</f>
        <v/>
      </c>
    </row>
    <row r="85">
      <c r="A85" s="25">
        <f>VLOOKUP(B85,Upgrade_Params!$A$4:$K$23,2,FALSE)</f>
        <v/>
      </c>
      <c r="B85" s="20" t="inlineStr">
        <is>
          <t>ASIC Vault</t>
        </is>
      </c>
      <c r="C85" s="25" t="n">
        <v>7</v>
      </c>
      <c r="D85" s="25">
        <f>VLOOKUP(B85,Upgrade_Params!$A$4:$K$23,3,FALSE)</f>
        <v/>
      </c>
      <c r="E85" s="17">
        <f>ROUND(VLOOKUP(B85,Upgrade_Params!$A$4:$K$23,4,FALSE)*VLOOKUP(B85,Upgrade_Params!$A$4:$K$23,5,FALSE)^(C85-1),0)</f>
        <v/>
      </c>
      <c r="F85" s="17">
        <f>ROUND(VLOOKUP(B85,Upgrade_Params!$A$4:$K$23,6,FALSE)*VLOOKUP(B85,Upgrade_Params!$A$4:$K$23,7,FALSE)^(C85-1),0)</f>
        <v/>
      </c>
      <c r="G85" s="17">
        <f>SUMIFS($F$4:F85,$B$4:B85,B85)</f>
        <v/>
      </c>
      <c r="H85" s="19">
        <f>IFERROR(E85/F85,0)</f>
        <v/>
      </c>
      <c r="I85" s="20">
        <f>VLOOKUP(B85,Upgrade_Params!$A$4:$K$23,9,FALSE)</f>
        <v/>
      </c>
      <c r="J85" s="20">
        <f>VLOOKUP(B85,Upgrade_Params!$A$4:$K$23,10,FALSE)</f>
        <v/>
      </c>
      <c r="K85" s="26">
        <f>IF(D85&lt;=6,"Starter",IF(D85&lt;=15,"Midgame",IF(D85&lt;=28,"Late Midgame","Endgame")))</f>
        <v/>
      </c>
      <c r="L85" s="18">
        <f>IFERROR(F85/E85*1000,0)</f>
        <v/>
      </c>
    </row>
    <row r="86">
      <c r="A86" s="25">
        <f>VLOOKUP(B86,Upgrade_Params!$A$4:$K$23,2,FALSE)</f>
        <v/>
      </c>
      <c r="B86" s="20" t="inlineStr">
        <is>
          <t>ASIC Vault</t>
        </is>
      </c>
      <c r="C86" s="25" t="n">
        <v>8</v>
      </c>
      <c r="D86" s="25">
        <f>VLOOKUP(B86,Upgrade_Params!$A$4:$K$23,3,FALSE)</f>
        <v/>
      </c>
      <c r="E86" s="17">
        <f>ROUND(VLOOKUP(B86,Upgrade_Params!$A$4:$K$23,4,FALSE)*VLOOKUP(B86,Upgrade_Params!$A$4:$K$23,5,FALSE)^(C86-1),0)</f>
        <v/>
      </c>
      <c r="F86" s="17">
        <f>ROUND(VLOOKUP(B86,Upgrade_Params!$A$4:$K$23,6,FALSE)*VLOOKUP(B86,Upgrade_Params!$A$4:$K$23,7,FALSE)^(C86-1),0)</f>
        <v/>
      </c>
      <c r="G86" s="17">
        <f>SUMIFS($F$4:F86,$B$4:B86,B86)</f>
        <v/>
      </c>
      <c r="H86" s="19">
        <f>IFERROR(E86/F86,0)</f>
        <v/>
      </c>
      <c r="I86" s="20">
        <f>VLOOKUP(B86,Upgrade_Params!$A$4:$K$23,9,FALSE)</f>
        <v/>
      </c>
      <c r="J86" s="20">
        <f>VLOOKUP(B86,Upgrade_Params!$A$4:$K$23,10,FALSE)</f>
        <v/>
      </c>
      <c r="K86" s="26">
        <f>IF(D86&lt;=6,"Starter",IF(D86&lt;=15,"Midgame",IF(D86&lt;=28,"Late Midgame","Endgame")))</f>
        <v/>
      </c>
      <c r="L86" s="18">
        <f>IFERROR(F86/E86*1000,0)</f>
        <v/>
      </c>
    </row>
    <row r="87">
      <c r="A87" s="25">
        <f>VLOOKUP(B87,Upgrade_Params!$A$4:$K$23,2,FALSE)</f>
        <v/>
      </c>
      <c r="B87" s="20" t="inlineStr">
        <is>
          <t>ASIC Vault</t>
        </is>
      </c>
      <c r="C87" s="25" t="n">
        <v>9</v>
      </c>
      <c r="D87" s="25">
        <f>VLOOKUP(B87,Upgrade_Params!$A$4:$K$23,3,FALSE)</f>
        <v/>
      </c>
      <c r="E87" s="17">
        <f>ROUND(VLOOKUP(B87,Upgrade_Params!$A$4:$K$23,4,FALSE)*VLOOKUP(B87,Upgrade_Params!$A$4:$K$23,5,FALSE)^(C87-1),0)</f>
        <v/>
      </c>
      <c r="F87" s="17">
        <f>ROUND(VLOOKUP(B87,Upgrade_Params!$A$4:$K$23,6,FALSE)*VLOOKUP(B87,Upgrade_Params!$A$4:$K$23,7,FALSE)^(C87-1),0)</f>
        <v/>
      </c>
      <c r="G87" s="17">
        <f>SUMIFS($F$4:F87,$B$4:B87,B87)</f>
        <v/>
      </c>
      <c r="H87" s="19">
        <f>IFERROR(E87/F87,0)</f>
        <v/>
      </c>
      <c r="I87" s="20">
        <f>VLOOKUP(B87,Upgrade_Params!$A$4:$K$23,9,FALSE)</f>
        <v/>
      </c>
      <c r="J87" s="20">
        <f>VLOOKUP(B87,Upgrade_Params!$A$4:$K$23,10,FALSE)</f>
        <v/>
      </c>
      <c r="K87" s="26">
        <f>IF(D87&lt;=6,"Starter",IF(D87&lt;=15,"Midgame",IF(D87&lt;=28,"Late Midgame","Endgame")))</f>
        <v/>
      </c>
      <c r="L87" s="18">
        <f>IFERROR(F87/E87*1000,0)</f>
        <v/>
      </c>
    </row>
    <row r="88">
      <c r="A88" s="25">
        <f>VLOOKUP(B88,Upgrade_Params!$A$4:$K$23,2,FALSE)</f>
        <v/>
      </c>
      <c r="B88" s="20" t="inlineStr">
        <is>
          <t>ASIC Vault</t>
        </is>
      </c>
      <c r="C88" s="25" t="n">
        <v>10</v>
      </c>
      <c r="D88" s="25">
        <f>VLOOKUP(B88,Upgrade_Params!$A$4:$K$23,3,FALSE)</f>
        <v/>
      </c>
      <c r="E88" s="17">
        <f>ROUND(VLOOKUP(B88,Upgrade_Params!$A$4:$K$23,4,FALSE)*VLOOKUP(B88,Upgrade_Params!$A$4:$K$23,5,FALSE)^(C88-1),0)</f>
        <v/>
      </c>
      <c r="F88" s="17">
        <f>ROUND(VLOOKUP(B88,Upgrade_Params!$A$4:$K$23,6,FALSE)*VLOOKUP(B88,Upgrade_Params!$A$4:$K$23,7,FALSE)^(C88-1),0)</f>
        <v/>
      </c>
      <c r="G88" s="17">
        <f>SUMIFS($F$4:F88,$B$4:B88,B88)</f>
        <v/>
      </c>
      <c r="H88" s="19">
        <f>IFERROR(E88/F88,0)</f>
        <v/>
      </c>
      <c r="I88" s="20">
        <f>VLOOKUP(B88,Upgrade_Params!$A$4:$K$23,9,FALSE)</f>
        <v/>
      </c>
      <c r="J88" s="20">
        <f>VLOOKUP(B88,Upgrade_Params!$A$4:$K$23,10,FALSE)</f>
        <v/>
      </c>
      <c r="K88" s="26">
        <f>IF(D88&lt;=6,"Starter",IF(D88&lt;=15,"Midgame",IF(D88&lt;=28,"Late Midgame","Endgame")))</f>
        <v/>
      </c>
      <c r="L88" s="18">
        <f>IFERROR(F88/E88*1000,0)</f>
        <v/>
      </c>
    </row>
    <row r="89">
      <c r="A89" s="25">
        <f>VLOOKUP(B89,Upgrade_Params!$A$4:$K$23,2,FALSE)</f>
        <v/>
      </c>
      <c r="B89" s="20" t="inlineStr">
        <is>
          <t>ASIC Vault</t>
        </is>
      </c>
      <c r="C89" s="25" t="n">
        <v>11</v>
      </c>
      <c r="D89" s="25">
        <f>VLOOKUP(B89,Upgrade_Params!$A$4:$K$23,3,FALSE)</f>
        <v/>
      </c>
      <c r="E89" s="17">
        <f>ROUND(VLOOKUP(B89,Upgrade_Params!$A$4:$K$23,4,FALSE)*VLOOKUP(B89,Upgrade_Params!$A$4:$K$23,5,FALSE)^(C89-1),0)</f>
        <v/>
      </c>
      <c r="F89" s="17">
        <f>ROUND(VLOOKUP(B89,Upgrade_Params!$A$4:$K$23,6,FALSE)*VLOOKUP(B89,Upgrade_Params!$A$4:$K$23,7,FALSE)^(C89-1),0)</f>
        <v/>
      </c>
      <c r="G89" s="17">
        <f>SUMIFS($F$4:F89,$B$4:B89,B89)</f>
        <v/>
      </c>
      <c r="H89" s="19">
        <f>IFERROR(E89/F89,0)</f>
        <v/>
      </c>
      <c r="I89" s="20">
        <f>VLOOKUP(B89,Upgrade_Params!$A$4:$K$23,9,FALSE)</f>
        <v/>
      </c>
      <c r="J89" s="20">
        <f>VLOOKUP(B89,Upgrade_Params!$A$4:$K$23,10,FALSE)</f>
        <v/>
      </c>
      <c r="K89" s="26">
        <f>IF(D89&lt;=6,"Starter",IF(D89&lt;=15,"Midgame",IF(D89&lt;=28,"Late Midgame","Endgame")))</f>
        <v/>
      </c>
      <c r="L89" s="18">
        <f>IFERROR(F89/E89*1000,0)</f>
        <v/>
      </c>
    </row>
    <row r="90">
      <c r="A90" s="25">
        <f>VLOOKUP(B90,Upgrade_Params!$A$4:$K$23,2,FALSE)</f>
        <v/>
      </c>
      <c r="B90" s="20" t="inlineStr">
        <is>
          <t>ASIC Vault</t>
        </is>
      </c>
      <c r="C90" s="25" t="n">
        <v>12</v>
      </c>
      <c r="D90" s="25">
        <f>VLOOKUP(B90,Upgrade_Params!$A$4:$K$23,3,FALSE)</f>
        <v/>
      </c>
      <c r="E90" s="17">
        <f>ROUND(VLOOKUP(B90,Upgrade_Params!$A$4:$K$23,4,FALSE)*VLOOKUP(B90,Upgrade_Params!$A$4:$K$23,5,FALSE)^(C90-1),0)</f>
        <v/>
      </c>
      <c r="F90" s="17">
        <f>ROUND(VLOOKUP(B90,Upgrade_Params!$A$4:$K$23,6,FALSE)*VLOOKUP(B90,Upgrade_Params!$A$4:$K$23,7,FALSE)^(C90-1),0)</f>
        <v/>
      </c>
      <c r="G90" s="17">
        <f>SUMIFS($F$4:F90,$B$4:B90,B90)</f>
        <v/>
      </c>
      <c r="H90" s="19">
        <f>IFERROR(E90/F90,0)</f>
        <v/>
      </c>
      <c r="I90" s="20">
        <f>VLOOKUP(B90,Upgrade_Params!$A$4:$K$23,9,FALSE)</f>
        <v/>
      </c>
      <c r="J90" s="20">
        <f>VLOOKUP(B90,Upgrade_Params!$A$4:$K$23,10,FALSE)</f>
        <v/>
      </c>
      <c r="K90" s="26">
        <f>IF(D90&lt;=6,"Starter",IF(D90&lt;=15,"Midgame",IF(D90&lt;=28,"Late Midgame","Endgame")))</f>
        <v/>
      </c>
      <c r="L90" s="18">
        <f>IFERROR(F90/E90*1000,0)</f>
        <v/>
      </c>
    </row>
    <row r="91">
      <c r="A91" s="25">
        <f>VLOOKUP(B91,Upgrade_Params!$A$4:$K$23,2,FALSE)</f>
        <v/>
      </c>
      <c r="B91" s="20" t="inlineStr">
        <is>
          <t>ASIC Vault</t>
        </is>
      </c>
      <c r="C91" s="25" t="n">
        <v>13</v>
      </c>
      <c r="D91" s="25">
        <f>VLOOKUP(B91,Upgrade_Params!$A$4:$K$23,3,FALSE)</f>
        <v/>
      </c>
      <c r="E91" s="17">
        <f>ROUND(VLOOKUP(B91,Upgrade_Params!$A$4:$K$23,4,FALSE)*VLOOKUP(B91,Upgrade_Params!$A$4:$K$23,5,FALSE)^(C91-1),0)</f>
        <v/>
      </c>
      <c r="F91" s="17">
        <f>ROUND(VLOOKUP(B91,Upgrade_Params!$A$4:$K$23,6,FALSE)*VLOOKUP(B91,Upgrade_Params!$A$4:$K$23,7,FALSE)^(C91-1),0)</f>
        <v/>
      </c>
      <c r="G91" s="17">
        <f>SUMIFS($F$4:F91,$B$4:B91,B91)</f>
        <v/>
      </c>
      <c r="H91" s="19">
        <f>IFERROR(E91/F91,0)</f>
        <v/>
      </c>
      <c r="I91" s="20">
        <f>VLOOKUP(B91,Upgrade_Params!$A$4:$K$23,9,FALSE)</f>
        <v/>
      </c>
      <c r="J91" s="20">
        <f>VLOOKUP(B91,Upgrade_Params!$A$4:$K$23,10,FALSE)</f>
        <v/>
      </c>
      <c r="K91" s="26">
        <f>IF(D91&lt;=6,"Starter",IF(D91&lt;=15,"Midgame",IF(D91&lt;=28,"Late Midgame","Endgame")))</f>
        <v/>
      </c>
      <c r="L91" s="18">
        <f>IFERROR(F91/E91*1000,0)</f>
        <v/>
      </c>
    </row>
    <row r="92">
      <c r="A92" s="25">
        <f>VLOOKUP(B92,Upgrade_Params!$A$4:$K$23,2,FALSE)</f>
        <v/>
      </c>
      <c r="B92" s="20" t="inlineStr">
        <is>
          <t>ASIC Vault</t>
        </is>
      </c>
      <c r="C92" s="25" t="n">
        <v>14</v>
      </c>
      <c r="D92" s="25">
        <f>VLOOKUP(B92,Upgrade_Params!$A$4:$K$23,3,FALSE)</f>
        <v/>
      </c>
      <c r="E92" s="17">
        <f>ROUND(VLOOKUP(B92,Upgrade_Params!$A$4:$K$23,4,FALSE)*VLOOKUP(B92,Upgrade_Params!$A$4:$K$23,5,FALSE)^(C92-1),0)</f>
        <v/>
      </c>
      <c r="F92" s="17">
        <f>ROUND(VLOOKUP(B92,Upgrade_Params!$A$4:$K$23,6,FALSE)*VLOOKUP(B92,Upgrade_Params!$A$4:$K$23,7,FALSE)^(C92-1),0)</f>
        <v/>
      </c>
      <c r="G92" s="17">
        <f>SUMIFS($F$4:F92,$B$4:B92,B92)</f>
        <v/>
      </c>
      <c r="H92" s="19">
        <f>IFERROR(E92/F92,0)</f>
        <v/>
      </c>
      <c r="I92" s="20">
        <f>VLOOKUP(B92,Upgrade_Params!$A$4:$K$23,9,FALSE)</f>
        <v/>
      </c>
      <c r="J92" s="20">
        <f>VLOOKUP(B92,Upgrade_Params!$A$4:$K$23,10,FALSE)</f>
        <v/>
      </c>
      <c r="K92" s="26">
        <f>IF(D92&lt;=6,"Starter",IF(D92&lt;=15,"Midgame",IF(D92&lt;=28,"Late Midgame","Endgame")))</f>
        <v/>
      </c>
      <c r="L92" s="18">
        <f>IFERROR(F92/E92*1000,0)</f>
        <v/>
      </c>
    </row>
    <row r="93">
      <c r="A93" s="25">
        <f>VLOOKUP(B93,Upgrade_Params!$A$4:$K$23,2,FALSE)</f>
        <v/>
      </c>
      <c r="B93" s="20" t="inlineStr">
        <is>
          <t>ASIC Vault</t>
        </is>
      </c>
      <c r="C93" s="25" t="n">
        <v>15</v>
      </c>
      <c r="D93" s="25">
        <f>VLOOKUP(B93,Upgrade_Params!$A$4:$K$23,3,FALSE)</f>
        <v/>
      </c>
      <c r="E93" s="17">
        <f>ROUND(VLOOKUP(B93,Upgrade_Params!$A$4:$K$23,4,FALSE)*VLOOKUP(B93,Upgrade_Params!$A$4:$K$23,5,FALSE)^(C93-1),0)</f>
        <v/>
      </c>
      <c r="F93" s="17">
        <f>ROUND(VLOOKUP(B93,Upgrade_Params!$A$4:$K$23,6,FALSE)*VLOOKUP(B93,Upgrade_Params!$A$4:$K$23,7,FALSE)^(C93-1),0)</f>
        <v/>
      </c>
      <c r="G93" s="17">
        <f>SUMIFS($F$4:F93,$B$4:B93,B93)</f>
        <v/>
      </c>
      <c r="H93" s="19">
        <f>IFERROR(E93/F93,0)</f>
        <v/>
      </c>
      <c r="I93" s="20">
        <f>VLOOKUP(B93,Upgrade_Params!$A$4:$K$23,9,FALSE)</f>
        <v/>
      </c>
      <c r="J93" s="20">
        <f>VLOOKUP(B93,Upgrade_Params!$A$4:$K$23,10,FALSE)</f>
        <v/>
      </c>
      <c r="K93" s="26">
        <f>IF(D93&lt;=6,"Starter",IF(D93&lt;=15,"Midgame",IF(D93&lt;=28,"Late Midgame","Endgame")))</f>
        <v/>
      </c>
      <c r="L93" s="18">
        <f>IFERROR(F93/E93*1000,0)</f>
        <v/>
      </c>
    </row>
    <row r="94">
      <c r="A94" s="25">
        <f>VLOOKUP(B94,Upgrade_Params!$A$4:$K$23,2,FALSE)</f>
        <v/>
      </c>
      <c r="B94" s="20" t="inlineStr">
        <is>
          <t>Swap Router</t>
        </is>
      </c>
      <c r="C94" s="25" t="n">
        <v>1</v>
      </c>
      <c r="D94" s="25">
        <f>VLOOKUP(B94,Upgrade_Params!$A$4:$K$23,3,FALSE)</f>
        <v/>
      </c>
      <c r="E94" s="17">
        <f>ROUND(VLOOKUP(B94,Upgrade_Params!$A$4:$K$23,4,FALSE)*VLOOKUP(B94,Upgrade_Params!$A$4:$K$23,5,FALSE)^(C94-1),0)</f>
        <v/>
      </c>
      <c r="F94" s="17">
        <f>ROUND(VLOOKUP(B94,Upgrade_Params!$A$4:$K$23,6,FALSE)*VLOOKUP(B94,Upgrade_Params!$A$4:$K$23,7,FALSE)^(C94-1),0)</f>
        <v/>
      </c>
      <c r="G94" s="17">
        <f>SUMIFS($F$4:F94,$B$4:B94,B94)</f>
        <v/>
      </c>
      <c r="H94" s="19">
        <f>IFERROR(E94/F94,0)</f>
        <v/>
      </c>
      <c r="I94" s="20">
        <f>VLOOKUP(B94,Upgrade_Params!$A$4:$K$23,9,FALSE)</f>
        <v/>
      </c>
      <c r="J94" s="20">
        <f>VLOOKUP(B94,Upgrade_Params!$A$4:$K$23,10,FALSE)</f>
        <v/>
      </c>
      <c r="K94" s="26">
        <f>IF(D94&lt;=6,"Starter",IF(D94&lt;=15,"Midgame",IF(D94&lt;=28,"Late Midgame","Endgame")))</f>
        <v/>
      </c>
      <c r="L94" s="18">
        <f>IFERROR(F94/E94*1000,0)</f>
        <v/>
      </c>
    </row>
    <row r="95">
      <c r="A95" s="25">
        <f>VLOOKUP(B95,Upgrade_Params!$A$4:$K$23,2,FALSE)</f>
        <v/>
      </c>
      <c r="B95" s="20" t="inlineStr">
        <is>
          <t>Swap Router</t>
        </is>
      </c>
      <c r="C95" s="25" t="n">
        <v>2</v>
      </c>
      <c r="D95" s="25">
        <f>VLOOKUP(B95,Upgrade_Params!$A$4:$K$23,3,FALSE)</f>
        <v/>
      </c>
      <c r="E95" s="17">
        <f>ROUND(VLOOKUP(B95,Upgrade_Params!$A$4:$K$23,4,FALSE)*VLOOKUP(B95,Upgrade_Params!$A$4:$K$23,5,FALSE)^(C95-1),0)</f>
        <v/>
      </c>
      <c r="F95" s="17">
        <f>ROUND(VLOOKUP(B95,Upgrade_Params!$A$4:$K$23,6,FALSE)*VLOOKUP(B95,Upgrade_Params!$A$4:$K$23,7,FALSE)^(C95-1),0)</f>
        <v/>
      </c>
      <c r="G95" s="17">
        <f>SUMIFS($F$4:F95,$B$4:B95,B95)</f>
        <v/>
      </c>
      <c r="H95" s="19">
        <f>IFERROR(E95/F95,0)</f>
        <v/>
      </c>
      <c r="I95" s="20">
        <f>VLOOKUP(B95,Upgrade_Params!$A$4:$K$23,9,FALSE)</f>
        <v/>
      </c>
      <c r="J95" s="20">
        <f>VLOOKUP(B95,Upgrade_Params!$A$4:$K$23,10,FALSE)</f>
        <v/>
      </c>
      <c r="K95" s="26">
        <f>IF(D95&lt;=6,"Starter",IF(D95&lt;=15,"Midgame",IF(D95&lt;=28,"Late Midgame","Endgame")))</f>
        <v/>
      </c>
      <c r="L95" s="18">
        <f>IFERROR(F95/E95*1000,0)</f>
        <v/>
      </c>
    </row>
    <row r="96">
      <c r="A96" s="25">
        <f>VLOOKUP(B96,Upgrade_Params!$A$4:$K$23,2,FALSE)</f>
        <v/>
      </c>
      <c r="B96" s="20" t="inlineStr">
        <is>
          <t>Swap Router</t>
        </is>
      </c>
      <c r="C96" s="25" t="n">
        <v>3</v>
      </c>
      <c r="D96" s="25">
        <f>VLOOKUP(B96,Upgrade_Params!$A$4:$K$23,3,FALSE)</f>
        <v/>
      </c>
      <c r="E96" s="17">
        <f>ROUND(VLOOKUP(B96,Upgrade_Params!$A$4:$K$23,4,FALSE)*VLOOKUP(B96,Upgrade_Params!$A$4:$K$23,5,FALSE)^(C96-1),0)</f>
        <v/>
      </c>
      <c r="F96" s="17">
        <f>ROUND(VLOOKUP(B96,Upgrade_Params!$A$4:$K$23,6,FALSE)*VLOOKUP(B96,Upgrade_Params!$A$4:$K$23,7,FALSE)^(C96-1),0)</f>
        <v/>
      </c>
      <c r="G96" s="17">
        <f>SUMIFS($F$4:F96,$B$4:B96,B96)</f>
        <v/>
      </c>
      <c r="H96" s="19">
        <f>IFERROR(E96/F96,0)</f>
        <v/>
      </c>
      <c r="I96" s="20">
        <f>VLOOKUP(B96,Upgrade_Params!$A$4:$K$23,9,FALSE)</f>
        <v/>
      </c>
      <c r="J96" s="20">
        <f>VLOOKUP(B96,Upgrade_Params!$A$4:$K$23,10,FALSE)</f>
        <v/>
      </c>
      <c r="K96" s="26">
        <f>IF(D96&lt;=6,"Starter",IF(D96&lt;=15,"Midgame",IF(D96&lt;=28,"Late Midgame","Endgame")))</f>
        <v/>
      </c>
      <c r="L96" s="18">
        <f>IFERROR(F96/E96*1000,0)</f>
        <v/>
      </c>
    </row>
    <row r="97">
      <c r="A97" s="25">
        <f>VLOOKUP(B97,Upgrade_Params!$A$4:$K$23,2,FALSE)</f>
        <v/>
      </c>
      <c r="B97" s="20" t="inlineStr">
        <is>
          <t>Swap Router</t>
        </is>
      </c>
      <c r="C97" s="25" t="n">
        <v>4</v>
      </c>
      <c r="D97" s="25">
        <f>VLOOKUP(B97,Upgrade_Params!$A$4:$K$23,3,FALSE)</f>
        <v/>
      </c>
      <c r="E97" s="17">
        <f>ROUND(VLOOKUP(B97,Upgrade_Params!$A$4:$K$23,4,FALSE)*VLOOKUP(B97,Upgrade_Params!$A$4:$K$23,5,FALSE)^(C97-1),0)</f>
        <v/>
      </c>
      <c r="F97" s="17">
        <f>ROUND(VLOOKUP(B97,Upgrade_Params!$A$4:$K$23,6,FALSE)*VLOOKUP(B97,Upgrade_Params!$A$4:$K$23,7,FALSE)^(C97-1),0)</f>
        <v/>
      </c>
      <c r="G97" s="17">
        <f>SUMIFS($F$4:F97,$B$4:B97,B97)</f>
        <v/>
      </c>
      <c r="H97" s="19">
        <f>IFERROR(E97/F97,0)</f>
        <v/>
      </c>
      <c r="I97" s="20">
        <f>VLOOKUP(B97,Upgrade_Params!$A$4:$K$23,9,FALSE)</f>
        <v/>
      </c>
      <c r="J97" s="20">
        <f>VLOOKUP(B97,Upgrade_Params!$A$4:$K$23,10,FALSE)</f>
        <v/>
      </c>
      <c r="K97" s="26">
        <f>IF(D97&lt;=6,"Starter",IF(D97&lt;=15,"Midgame",IF(D97&lt;=28,"Late Midgame","Endgame")))</f>
        <v/>
      </c>
      <c r="L97" s="18">
        <f>IFERROR(F97/E97*1000,0)</f>
        <v/>
      </c>
    </row>
    <row r="98">
      <c r="A98" s="25">
        <f>VLOOKUP(B98,Upgrade_Params!$A$4:$K$23,2,FALSE)</f>
        <v/>
      </c>
      <c r="B98" s="20" t="inlineStr">
        <is>
          <t>Swap Router</t>
        </is>
      </c>
      <c r="C98" s="25" t="n">
        <v>5</v>
      </c>
      <c r="D98" s="25">
        <f>VLOOKUP(B98,Upgrade_Params!$A$4:$K$23,3,FALSE)</f>
        <v/>
      </c>
      <c r="E98" s="17">
        <f>ROUND(VLOOKUP(B98,Upgrade_Params!$A$4:$K$23,4,FALSE)*VLOOKUP(B98,Upgrade_Params!$A$4:$K$23,5,FALSE)^(C98-1),0)</f>
        <v/>
      </c>
      <c r="F98" s="17">
        <f>ROUND(VLOOKUP(B98,Upgrade_Params!$A$4:$K$23,6,FALSE)*VLOOKUP(B98,Upgrade_Params!$A$4:$K$23,7,FALSE)^(C98-1),0)</f>
        <v/>
      </c>
      <c r="G98" s="17">
        <f>SUMIFS($F$4:F98,$B$4:B98,B98)</f>
        <v/>
      </c>
      <c r="H98" s="19">
        <f>IFERROR(E98/F98,0)</f>
        <v/>
      </c>
      <c r="I98" s="20">
        <f>VLOOKUP(B98,Upgrade_Params!$A$4:$K$23,9,FALSE)</f>
        <v/>
      </c>
      <c r="J98" s="20">
        <f>VLOOKUP(B98,Upgrade_Params!$A$4:$K$23,10,FALSE)</f>
        <v/>
      </c>
      <c r="K98" s="26">
        <f>IF(D98&lt;=6,"Starter",IF(D98&lt;=15,"Midgame",IF(D98&lt;=28,"Late Midgame","Endgame")))</f>
        <v/>
      </c>
      <c r="L98" s="18">
        <f>IFERROR(F98/E98*1000,0)</f>
        <v/>
      </c>
    </row>
    <row r="99">
      <c r="A99" s="25">
        <f>VLOOKUP(B99,Upgrade_Params!$A$4:$K$23,2,FALSE)</f>
        <v/>
      </c>
      <c r="B99" s="20" t="inlineStr">
        <is>
          <t>Swap Router</t>
        </is>
      </c>
      <c r="C99" s="25" t="n">
        <v>6</v>
      </c>
      <c r="D99" s="25">
        <f>VLOOKUP(B99,Upgrade_Params!$A$4:$K$23,3,FALSE)</f>
        <v/>
      </c>
      <c r="E99" s="17">
        <f>ROUND(VLOOKUP(B99,Upgrade_Params!$A$4:$K$23,4,FALSE)*VLOOKUP(B99,Upgrade_Params!$A$4:$K$23,5,FALSE)^(C99-1),0)</f>
        <v/>
      </c>
      <c r="F99" s="17">
        <f>ROUND(VLOOKUP(B99,Upgrade_Params!$A$4:$K$23,6,FALSE)*VLOOKUP(B99,Upgrade_Params!$A$4:$K$23,7,FALSE)^(C99-1),0)</f>
        <v/>
      </c>
      <c r="G99" s="17">
        <f>SUMIFS($F$4:F99,$B$4:B99,B99)</f>
        <v/>
      </c>
      <c r="H99" s="19">
        <f>IFERROR(E99/F99,0)</f>
        <v/>
      </c>
      <c r="I99" s="20">
        <f>VLOOKUP(B99,Upgrade_Params!$A$4:$K$23,9,FALSE)</f>
        <v/>
      </c>
      <c r="J99" s="20">
        <f>VLOOKUP(B99,Upgrade_Params!$A$4:$K$23,10,FALSE)</f>
        <v/>
      </c>
      <c r="K99" s="26">
        <f>IF(D99&lt;=6,"Starter",IF(D99&lt;=15,"Midgame",IF(D99&lt;=28,"Late Midgame","Endgame")))</f>
        <v/>
      </c>
      <c r="L99" s="18">
        <f>IFERROR(F99/E99*1000,0)</f>
        <v/>
      </c>
    </row>
    <row r="100">
      <c r="A100" s="25">
        <f>VLOOKUP(B100,Upgrade_Params!$A$4:$K$23,2,FALSE)</f>
        <v/>
      </c>
      <c r="B100" s="20" t="inlineStr">
        <is>
          <t>Swap Router</t>
        </is>
      </c>
      <c r="C100" s="25" t="n">
        <v>7</v>
      </c>
      <c r="D100" s="25">
        <f>VLOOKUP(B100,Upgrade_Params!$A$4:$K$23,3,FALSE)</f>
        <v/>
      </c>
      <c r="E100" s="17">
        <f>ROUND(VLOOKUP(B100,Upgrade_Params!$A$4:$K$23,4,FALSE)*VLOOKUP(B100,Upgrade_Params!$A$4:$K$23,5,FALSE)^(C100-1),0)</f>
        <v/>
      </c>
      <c r="F100" s="17">
        <f>ROUND(VLOOKUP(B100,Upgrade_Params!$A$4:$K$23,6,FALSE)*VLOOKUP(B100,Upgrade_Params!$A$4:$K$23,7,FALSE)^(C100-1),0)</f>
        <v/>
      </c>
      <c r="G100" s="17">
        <f>SUMIFS($F$4:F100,$B$4:B100,B100)</f>
        <v/>
      </c>
      <c r="H100" s="19">
        <f>IFERROR(E100/F100,0)</f>
        <v/>
      </c>
      <c r="I100" s="20">
        <f>VLOOKUP(B100,Upgrade_Params!$A$4:$K$23,9,FALSE)</f>
        <v/>
      </c>
      <c r="J100" s="20">
        <f>VLOOKUP(B100,Upgrade_Params!$A$4:$K$23,10,FALSE)</f>
        <v/>
      </c>
      <c r="K100" s="26">
        <f>IF(D100&lt;=6,"Starter",IF(D100&lt;=15,"Midgame",IF(D100&lt;=28,"Late Midgame","Endgame")))</f>
        <v/>
      </c>
      <c r="L100" s="18">
        <f>IFERROR(F100/E100*1000,0)</f>
        <v/>
      </c>
    </row>
    <row r="101">
      <c r="A101" s="25">
        <f>VLOOKUP(B101,Upgrade_Params!$A$4:$K$23,2,FALSE)</f>
        <v/>
      </c>
      <c r="B101" s="20" t="inlineStr">
        <is>
          <t>Swap Router</t>
        </is>
      </c>
      <c r="C101" s="25" t="n">
        <v>8</v>
      </c>
      <c r="D101" s="25">
        <f>VLOOKUP(B101,Upgrade_Params!$A$4:$K$23,3,FALSE)</f>
        <v/>
      </c>
      <c r="E101" s="17">
        <f>ROUND(VLOOKUP(B101,Upgrade_Params!$A$4:$K$23,4,FALSE)*VLOOKUP(B101,Upgrade_Params!$A$4:$K$23,5,FALSE)^(C101-1),0)</f>
        <v/>
      </c>
      <c r="F101" s="17">
        <f>ROUND(VLOOKUP(B101,Upgrade_Params!$A$4:$K$23,6,FALSE)*VLOOKUP(B101,Upgrade_Params!$A$4:$K$23,7,FALSE)^(C101-1),0)</f>
        <v/>
      </c>
      <c r="G101" s="17">
        <f>SUMIFS($F$4:F101,$B$4:B101,B101)</f>
        <v/>
      </c>
      <c r="H101" s="19">
        <f>IFERROR(E101/F101,0)</f>
        <v/>
      </c>
      <c r="I101" s="20">
        <f>VLOOKUP(B101,Upgrade_Params!$A$4:$K$23,9,FALSE)</f>
        <v/>
      </c>
      <c r="J101" s="20">
        <f>VLOOKUP(B101,Upgrade_Params!$A$4:$K$23,10,FALSE)</f>
        <v/>
      </c>
      <c r="K101" s="26">
        <f>IF(D101&lt;=6,"Starter",IF(D101&lt;=15,"Midgame",IF(D101&lt;=28,"Late Midgame","Endgame")))</f>
        <v/>
      </c>
      <c r="L101" s="18">
        <f>IFERROR(F101/E101*1000,0)</f>
        <v/>
      </c>
    </row>
    <row r="102">
      <c r="A102" s="25">
        <f>VLOOKUP(B102,Upgrade_Params!$A$4:$K$23,2,FALSE)</f>
        <v/>
      </c>
      <c r="B102" s="20" t="inlineStr">
        <is>
          <t>Swap Router</t>
        </is>
      </c>
      <c r="C102" s="25" t="n">
        <v>9</v>
      </c>
      <c r="D102" s="25">
        <f>VLOOKUP(B102,Upgrade_Params!$A$4:$K$23,3,FALSE)</f>
        <v/>
      </c>
      <c r="E102" s="17">
        <f>ROUND(VLOOKUP(B102,Upgrade_Params!$A$4:$K$23,4,FALSE)*VLOOKUP(B102,Upgrade_Params!$A$4:$K$23,5,FALSE)^(C102-1),0)</f>
        <v/>
      </c>
      <c r="F102" s="17">
        <f>ROUND(VLOOKUP(B102,Upgrade_Params!$A$4:$K$23,6,FALSE)*VLOOKUP(B102,Upgrade_Params!$A$4:$K$23,7,FALSE)^(C102-1),0)</f>
        <v/>
      </c>
      <c r="G102" s="17">
        <f>SUMIFS($F$4:F102,$B$4:B102,B102)</f>
        <v/>
      </c>
      <c r="H102" s="19">
        <f>IFERROR(E102/F102,0)</f>
        <v/>
      </c>
      <c r="I102" s="20">
        <f>VLOOKUP(B102,Upgrade_Params!$A$4:$K$23,9,FALSE)</f>
        <v/>
      </c>
      <c r="J102" s="20">
        <f>VLOOKUP(B102,Upgrade_Params!$A$4:$K$23,10,FALSE)</f>
        <v/>
      </c>
      <c r="K102" s="26">
        <f>IF(D102&lt;=6,"Starter",IF(D102&lt;=15,"Midgame",IF(D102&lt;=28,"Late Midgame","Endgame")))</f>
        <v/>
      </c>
      <c r="L102" s="18">
        <f>IFERROR(F102/E102*1000,0)</f>
        <v/>
      </c>
    </row>
    <row r="103">
      <c r="A103" s="25">
        <f>VLOOKUP(B103,Upgrade_Params!$A$4:$K$23,2,FALSE)</f>
        <v/>
      </c>
      <c r="B103" s="20" t="inlineStr">
        <is>
          <t>Swap Router</t>
        </is>
      </c>
      <c r="C103" s="25" t="n">
        <v>10</v>
      </c>
      <c r="D103" s="25">
        <f>VLOOKUP(B103,Upgrade_Params!$A$4:$K$23,3,FALSE)</f>
        <v/>
      </c>
      <c r="E103" s="17">
        <f>ROUND(VLOOKUP(B103,Upgrade_Params!$A$4:$K$23,4,FALSE)*VLOOKUP(B103,Upgrade_Params!$A$4:$K$23,5,FALSE)^(C103-1),0)</f>
        <v/>
      </c>
      <c r="F103" s="17">
        <f>ROUND(VLOOKUP(B103,Upgrade_Params!$A$4:$K$23,6,FALSE)*VLOOKUP(B103,Upgrade_Params!$A$4:$K$23,7,FALSE)^(C103-1),0)</f>
        <v/>
      </c>
      <c r="G103" s="17">
        <f>SUMIFS($F$4:F103,$B$4:B103,B103)</f>
        <v/>
      </c>
      <c r="H103" s="19">
        <f>IFERROR(E103/F103,0)</f>
        <v/>
      </c>
      <c r="I103" s="20">
        <f>VLOOKUP(B103,Upgrade_Params!$A$4:$K$23,9,FALSE)</f>
        <v/>
      </c>
      <c r="J103" s="20">
        <f>VLOOKUP(B103,Upgrade_Params!$A$4:$K$23,10,FALSE)</f>
        <v/>
      </c>
      <c r="K103" s="26">
        <f>IF(D103&lt;=6,"Starter",IF(D103&lt;=15,"Midgame",IF(D103&lt;=28,"Late Midgame","Endgame")))</f>
        <v/>
      </c>
      <c r="L103" s="18">
        <f>IFERROR(F103/E103*1000,0)</f>
        <v/>
      </c>
    </row>
    <row r="104">
      <c r="A104" s="25">
        <f>VLOOKUP(B104,Upgrade_Params!$A$4:$K$23,2,FALSE)</f>
        <v/>
      </c>
      <c r="B104" s="20" t="inlineStr">
        <is>
          <t>Swap Router</t>
        </is>
      </c>
      <c r="C104" s="25" t="n">
        <v>11</v>
      </c>
      <c r="D104" s="25">
        <f>VLOOKUP(B104,Upgrade_Params!$A$4:$K$23,3,FALSE)</f>
        <v/>
      </c>
      <c r="E104" s="17">
        <f>ROUND(VLOOKUP(B104,Upgrade_Params!$A$4:$K$23,4,FALSE)*VLOOKUP(B104,Upgrade_Params!$A$4:$K$23,5,FALSE)^(C104-1),0)</f>
        <v/>
      </c>
      <c r="F104" s="17">
        <f>ROUND(VLOOKUP(B104,Upgrade_Params!$A$4:$K$23,6,FALSE)*VLOOKUP(B104,Upgrade_Params!$A$4:$K$23,7,FALSE)^(C104-1),0)</f>
        <v/>
      </c>
      <c r="G104" s="17">
        <f>SUMIFS($F$4:F104,$B$4:B104,B104)</f>
        <v/>
      </c>
      <c r="H104" s="19">
        <f>IFERROR(E104/F104,0)</f>
        <v/>
      </c>
      <c r="I104" s="20">
        <f>VLOOKUP(B104,Upgrade_Params!$A$4:$K$23,9,FALSE)</f>
        <v/>
      </c>
      <c r="J104" s="20">
        <f>VLOOKUP(B104,Upgrade_Params!$A$4:$K$23,10,FALSE)</f>
        <v/>
      </c>
      <c r="K104" s="26">
        <f>IF(D104&lt;=6,"Starter",IF(D104&lt;=15,"Midgame",IF(D104&lt;=28,"Late Midgame","Endgame")))</f>
        <v/>
      </c>
      <c r="L104" s="18">
        <f>IFERROR(F104/E104*1000,0)</f>
        <v/>
      </c>
    </row>
    <row r="105">
      <c r="A105" s="25">
        <f>VLOOKUP(B105,Upgrade_Params!$A$4:$K$23,2,FALSE)</f>
        <v/>
      </c>
      <c r="B105" s="20" t="inlineStr">
        <is>
          <t>Swap Router</t>
        </is>
      </c>
      <c r="C105" s="25" t="n">
        <v>12</v>
      </c>
      <c r="D105" s="25">
        <f>VLOOKUP(B105,Upgrade_Params!$A$4:$K$23,3,FALSE)</f>
        <v/>
      </c>
      <c r="E105" s="17">
        <f>ROUND(VLOOKUP(B105,Upgrade_Params!$A$4:$K$23,4,FALSE)*VLOOKUP(B105,Upgrade_Params!$A$4:$K$23,5,FALSE)^(C105-1),0)</f>
        <v/>
      </c>
      <c r="F105" s="17">
        <f>ROUND(VLOOKUP(B105,Upgrade_Params!$A$4:$K$23,6,FALSE)*VLOOKUP(B105,Upgrade_Params!$A$4:$K$23,7,FALSE)^(C105-1),0)</f>
        <v/>
      </c>
      <c r="G105" s="17">
        <f>SUMIFS($F$4:F105,$B$4:B105,B105)</f>
        <v/>
      </c>
      <c r="H105" s="19">
        <f>IFERROR(E105/F105,0)</f>
        <v/>
      </c>
      <c r="I105" s="20">
        <f>VLOOKUP(B105,Upgrade_Params!$A$4:$K$23,9,FALSE)</f>
        <v/>
      </c>
      <c r="J105" s="20">
        <f>VLOOKUP(B105,Upgrade_Params!$A$4:$K$23,10,FALSE)</f>
        <v/>
      </c>
      <c r="K105" s="26">
        <f>IF(D105&lt;=6,"Starter",IF(D105&lt;=15,"Midgame",IF(D105&lt;=28,"Late Midgame","Endgame")))</f>
        <v/>
      </c>
      <c r="L105" s="18">
        <f>IFERROR(F105/E105*1000,0)</f>
        <v/>
      </c>
    </row>
    <row r="106">
      <c r="A106" s="25">
        <f>VLOOKUP(B106,Upgrade_Params!$A$4:$K$23,2,FALSE)</f>
        <v/>
      </c>
      <c r="B106" s="20" t="inlineStr">
        <is>
          <t>Swap Router</t>
        </is>
      </c>
      <c r="C106" s="25" t="n">
        <v>13</v>
      </c>
      <c r="D106" s="25">
        <f>VLOOKUP(B106,Upgrade_Params!$A$4:$K$23,3,FALSE)</f>
        <v/>
      </c>
      <c r="E106" s="17">
        <f>ROUND(VLOOKUP(B106,Upgrade_Params!$A$4:$K$23,4,FALSE)*VLOOKUP(B106,Upgrade_Params!$A$4:$K$23,5,FALSE)^(C106-1),0)</f>
        <v/>
      </c>
      <c r="F106" s="17">
        <f>ROUND(VLOOKUP(B106,Upgrade_Params!$A$4:$K$23,6,FALSE)*VLOOKUP(B106,Upgrade_Params!$A$4:$K$23,7,FALSE)^(C106-1),0)</f>
        <v/>
      </c>
      <c r="G106" s="17">
        <f>SUMIFS($F$4:F106,$B$4:B106,B106)</f>
        <v/>
      </c>
      <c r="H106" s="19">
        <f>IFERROR(E106/F106,0)</f>
        <v/>
      </c>
      <c r="I106" s="20">
        <f>VLOOKUP(B106,Upgrade_Params!$A$4:$K$23,9,FALSE)</f>
        <v/>
      </c>
      <c r="J106" s="20">
        <f>VLOOKUP(B106,Upgrade_Params!$A$4:$K$23,10,FALSE)</f>
        <v/>
      </c>
      <c r="K106" s="26">
        <f>IF(D106&lt;=6,"Starter",IF(D106&lt;=15,"Midgame",IF(D106&lt;=28,"Late Midgame","Endgame")))</f>
        <v/>
      </c>
      <c r="L106" s="18">
        <f>IFERROR(F106/E106*1000,0)</f>
        <v/>
      </c>
    </row>
    <row r="107">
      <c r="A107" s="25">
        <f>VLOOKUP(B107,Upgrade_Params!$A$4:$K$23,2,FALSE)</f>
        <v/>
      </c>
      <c r="B107" s="20" t="inlineStr">
        <is>
          <t>Swap Router</t>
        </is>
      </c>
      <c r="C107" s="25" t="n">
        <v>14</v>
      </c>
      <c r="D107" s="25">
        <f>VLOOKUP(B107,Upgrade_Params!$A$4:$K$23,3,FALSE)</f>
        <v/>
      </c>
      <c r="E107" s="17">
        <f>ROUND(VLOOKUP(B107,Upgrade_Params!$A$4:$K$23,4,FALSE)*VLOOKUP(B107,Upgrade_Params!$A$4:$K$23,5,FALSE)^(C107-1),0)</f>
        <v/>
      </c>
      <c r="F107" s="17">
        <f>ROUND(VLOOKUP(B107,Upgrade_Params!$A$4:$K$23,6,FALSE)*VLOOKUP(B107,Upgrade_Params!$A$4:$K$23,7,FALSE)^(C107-1),0)</f>
        <v/>
      </c>
      <c r="G107" s="17">
        <f>SUMIFS($F$4:F107,$B$4:B107,B107)</f>
        <v/>
      </c>
      <c r="H107" s="19">
        <f>IFERROR(E107/F107,0)</f>
        <v/>
      </c>
      <c r="I107" s="20">
        <f>VLOOKUP(B107,Upgrade_Params!$A$4:$K$23,9,FALSE)</f>
        <v/>
      </c>
      <c r="J107" s="20">
        <f>VLOOKUP(B107,Upgrade_Params!$A$4:$K$23,10,FALSE)</f>
        <v/>
      </c>
      <c r="K107" s="26">
        <f>IF(D107&lt;=6,"Starter",IF(D107&lt;=15,"Midgame",IF(D107&lt;=28,"Late Midgame","Endgame")))</f>
        <v/>
      </c>
      <c r="L107" s="18">
        <f>IFERROR(F107/E107*1000,0)</f>
        <v/>
      </c>
    </row>
    <row r="108">
      <c r="A108" s="25">
        <f>VLOOKUP(B108,Upgrade_Params!$A$4:$K$23,2,FALSE)</f>
        <v/>
      </c>
      <c r="B108" s="20" t="inlineStr">
        <is>
          <t>Swap Router</t>
        </is>
      </c>
      <c r="C108" s="25" t="n">
        <v>15</v>
      </c>
      <c r="D108" s="25">
        <f>VLOOKUP(B108,Upgrade_Params!$A$4:$K$23,3,FALSE)</f>
        <v/>
      </c>
      <c r="E108" s="17">
        <f>ROUND(VLOOKUP(B108,Upgrade_Params!$A$4:$K$23,4,FALSE)*VLOOKUP(B108,Upgrade_Params!$A$4:$K$23,5,FALSE)^(C108-1),0)</f>
        <v/>
      </c>
      <c r="F108" s="17">
        <f>ROUND(VLOOKUP(B108,Upgrade_Params!$A$4:$K$23,6,FALSE)*VLOOKUP(B108,Upgrade_Params!$A$4:$K$23,7,FALSE)^(C108-1),0)</f>
        <v/>
      </c>
      <c r="G108" s="17">
        <f>SUMIFS($F$4:F108,$B$4:B108,B108)</f>
        <v/>
      </c>
      <c r="H108" s="19">
        <f>IFERROR(E108/F108,0)</f>
        <v/>
      </c>
      <c r="I108" s="20">
        <f>VLOOKUP(B108,Upgrade_Params!$A$4:$K$23,9,FALSE)</f>
        <v/>
      </c>
      <c r="J108" s="20">
        <f>VLOOKUP(B108,Upgrade_Params!$A$4:$K$23,10,FALSE)</f>
        <v/>
      </c>
      <c r="K108" s="26">
        <f>IF(D108&lt;=6,"Starter",IF(D108&lt;=15,"Midgame",IF(D108&lt;=28,"Late Midgame","Endgame")))</f>
        <v/>
      </c>
      <c r="L108" s="18">
        <f>IFERROR(F108/E108*1000,0)</f>
        <v/>
      </c>
    </row>
    <row r="109">
      <c r="A109" s="25">
        <f>VLOOKUP(B109,Upgrade_Params!$A$4:$K$23,2,FALSE)</f>
        <v/>
      </c>
      <c r="B109" s="20" t="inlineStr">
        <is>
          <t>Creator Bounties</t>
        </is>
      </c>
      <c r="C109" s="25" t="n">
        <v>1</v>
      </c>
      <c r="D109" s="25">
        <f>VLOOKUP(B109,Upgrade_Params!$A$4:$K$23,3,FALSE)</f>
        <v/>
      </c>
      <c r="E109" s="17">
        <f>ROUND(VLOOKUP(B109,Upgrade_Params!$A$4:$K$23,4,FALSE)*VLOOKUP(B109,Upgrade_Params!$A$4:$K$23,5,FALSE)^(C109-1),0)</f>
        <v/>
      </c>
      <c r="F109" s="17">
        <f>ROUND(VLOOKUP(B109,Upgrade_Params!$A$4:$K$23,6,FALSE)*VLOOKUP(B109,Upgrade_Params!$A$4:$K$23,7,FALSE)^(C109-1),0)</f>
        <v/>
      </c>
      <c r="G109" s="17">
        <f>SUMIFS($F$4:F109,$B$4:B109,B109)</f>
        <v/>
      </c>
      <c r="H109" s="19">
        <f>IFERROR(E109/F109,0)</f>
        <v/>
      </c>
      <c r="I109" s="20">
        <f>VLOOKUP(B109,Upgrade_Params!$A$4:$K$23,9,FALSE)</f>
        <v/>
      </c>
      <c r="J109" s="20">
        <f>VLOOKUP(B109,Upgrade_Params!$A$4:$K$23,10,FALSE)</f>
        <v/>
      </c>
      <c r="K109" s="26">
        <f>IF(D109&lt;=6,"Starter",IF(D109&lt;=15,"Midgame",IF(D109&lt;=28,"Late Midgame","Endgame")))</f>
        <v/>
      </c>
      <c r="L109" s="18">
        <f>IFERROR(F109/E109*1000,0)</f>
        <v/>
      </c>
    </row>
    <row r="110">
      <c r="A110" s="25">
        <f>VLOOKUP(B110,Upgrade_Params!$A$4:$K$23,2,FALSE)</f>
        <v/>
      </c>
      <c r="B110" s="20" t="inlineStr">
        <is>
          <t>Creator Bounties</t>
        </is>
      </c>
      <c r="C110" s="25" t="n">
        <v>2</v>
      </c>
      <c r="D110" s="25">
        <f>VLOOKUP(B110,Upgrade_Params!$A$4:$K$23,3,FALSE)</f>
        <v/>
      </c>
      <c r="E110" s="17">
        <f>ROUND(VLOOKUP(B110,Upgrade_Params!$A$4:$K$23,4,FALSE)*VLOOKUP(B110,Upgrade_Params!$A$4:$K$23,5,FALSE)^(C110-1),0)</f>
        <v/>
      </c>
      <c r="F110" s="17">
        <f>ROUND(VLOOKUP(B110,Upgrade_Params!$A$4:$K$23,6,FALSE)*VLOOKUP(B110,Upgrade_Params!$A$4:$K$23,7,FALSE)^(C110-1),0)</f>
        <v/>
      </c>
      <c r="G110" s="17">
        <f>SUMIFS($F$4:F110,$B$4:B110,B110)</f>
        <v/>
      </c>
      <c r="H110" s="19">
        <f>IFERROR(E110/F110,0)</f>
        <v/>
      </c>
      <c r="I110" s="20">
        <f>VLOOKUP(B110,Upgrade_Params!$A$4:$K$23,9,FALSE)</f>
        <v/>
      </c>
      <c r="J110" s="20">
        <f>VLOOKUP(B110,Upgrade_Params!$A$4:$K$23,10,FALSE)</f>
        <v/>
      </c>
      <c r="K110" s="26">
        <f>IF(D110&lt;=6,"Starter",IF(D110&lt;=15,"Midgame",IF(D110&lt;=28,"Late Midgame","Endgame")))</f>
        <v/>
      </c>
      <c r="L110" s="18">
        <f>IFERROR(F110/E110*1000,0)</f>
        <v/>
      </c>
    </row>
    <row r="111">
      <c r="A111" s="25">
        <f>VLOOKUP(B111,Upgrade_Params!$A$4:$K$23,2,FALSE)</f>
        <v/>
      </c>
      <c r="B111" s="20" t="inlineStr">
        <is>
          <t>Creator Bounties</t>
        </is>
      </c>
      <c r="C111" s="25" t="n">
        <v>3</v>
      </c>
      <c r="D111" s="25">
        <f>VLOOKUP(B111,Upgrade_Params!$A$4:$K$23,3,FALSE)</f>
        <v/>
      </c>
      <c r="E111" s="17">
        <f>ROUND(VLOOKUP(B111,Upgrade_Params!$A$4:$K$23,4,FALSE)*VLOOKUP(B111,Upgrade_Params!$A$4:$K$23,5,FALSE)^(C111-1),0)</f>
        <v/>
      </c>
      <c r="F111" s="17">
        <f>ROUND(VLOOKUP(B111,Upgrade_Params!$A$4:$K$23,6,FALSE)*VLOOKUP(B111,Upgrade_Params!$A$4:$K$23,7,FALSE)^(C111-1),0)</f>
        <v/>
      </c>
      <c r="G111" s="17">
        <f>SUMIFS($F$4:F111,$B$4:B111,B111)</f>
        <v/>
      </c>
      <c r="H111" s="19">
        <f>IFERROR(E111/F111,0)</f>
        <v/>
      </c>
      <c r="I111" s="20">
        <f>VLOOKUP(B111,Upgrade_Params!$A$4:$K$23,9,FALSE)</f>
        <v/>
      </c>
      <c r="J111" s="20">
        <f>VLOOKUP(B111,Upgrade_Params!$A$4:$K$23,10,FALSE)</f>
        <v/>
      </c>
      <c r="K111" s="26">
        <f>IF(D111&lt;=6,"Starter",IF(D111&lt;=15,"Midgame",IF(D111&lt;=28,"Late Midgame","Endgame")))</f>
        <v/>
      </c>
      <c r="L111" s="18">
        <f>IFERROR(F111/E111*1000,0)</f>
        <v/>
      </c>
    </row>
    <row r="112">
      <c r="A112" s="25">
        <f>VLOOKUP(B112,Upgrade_Params!$A$4:$K$23,2,FALSE)</f>
        <v/>
      </c>
      <c r="B112" s="20" t="inlineStr">
        <is>
          <t>Creator Bounties</t>
        </is>
      </c>
      <c r="C112" s="25" t="n">
        <v>4</v>
      </c>
      <c r="D112" s="25">
        <f>VLOOKUP(B112,Upgrade_Params!$A$4:$K$23,3,FALSE)</f>
        <v/>
      </c>
      <c r="E112" s="17">
        <f>ROUND(VLOOKUP(B112,Upgrade_Params!$A$4:$K$23,4,FALSE)*VLOOKUP(B112,Upgrade_Params!$A$4:$K$23,5,FALSE)^(C112-1),0)</f>
        <v/>
      </c>
      <c r="F112" s="17">
        <f>ROUND(VLOOKUP(B112,Upgrade_Params!$A$4:$K$23,6,FALSE)*VLOOKUP(B112,Upgrade_Params!$A$4:$K$23,7,FALSE)^(C112-1),0)</f>
        <v/>
      </c>
      <c r="G112" s="17">
        <f>SUMIFS($F$4:F112,$B$4:B112,B112)</f>
        <v/>
      </c>
      <c r="H112" s="19">
        <f>IFERROR(E112/F112,0)</f>
        <v/>
      </c>
      <c r="I112" s="20">
        <f>VLOOKUP(B112,Upgrade_Params!$A$4:$K$23,9,FALSE)</f>
        <v/>
      </c>
      <c r="J112" s="20">
        <f>VLOOKUP(B112,Upgrade_Params!$A$4:$K$23,10,FALSE)</f>
        <v/>
      </c>
      <c r="K112" s="26">
        <f>IF(D112&lt;=6,"Starter",IF(D112&lt;=15,"Midgame",IF(D112&lt;=28,"Late Midgame","Endgame")))</f>
        <v/>
      </c>
      <c r="L112" s="18">
        <f>IFERROR(F112/E112*1000,0)</f>
        <v/>
      </c>
    </row>
    <row r="113">
      <c r="A113" s="25">
        <f>VLOOKUP(B113,Upgrade_Params!$A$4:$K$23,2,FALSE)</f>
        <v/>
      </c>
      <c r="B113" s="20" t="inlineStr">
        <is>
          <t>Creator Bounties</t>
        </is>
      </c>
      <c r="C113" s="25" t="n">
        <v>5</v>
      </c>
      <c r="D113" s="25">
        <f>VLOOKUP(B113,Upgrade_Params!$A$4:$K$23,3,FALSE)</f>
        <v/>
      </c>
      <c r="E113" s="17">
        <f>ROUND(VLOOKUP(B113,Upgrade_Params!$A$4:$K$23,4,FALSE)*VLOOKUP(B113,Upgrade_Params!$A$4:$K$23,5,FALSE)^(C113-1),0)</f>
        <v/>
      </c>
      <c r="F113" s="17">
        <f>ROUND(VLOOKUP(B113,Upgrade_Params!$A$4:$K$23,6,FALSE)*VLOOKUP(B113,Upgrade_Params!$A$4:$K$23,7,FALSE)^(C113-1),0)</f>
        <v/>
      </c>
      <c r="G113" s="17">
        <f>SUMIFS($F$4:F113,$B$4:B113,B113)</f>
        <v/>
      </c>
      <c r="H113" s="19">
        <f>IFERROR(E113/F113,0)</f>
        <v/>
      </c>
      <c r="I113" s="20">
        <f>VLOOKUP(B113,Upgrade_Params!$A$4:$K$23,9,FALSE)</f>
        <v/>
      </c>
      <c r="J113" s="20">
        <f>VLOOKUP(B113,Upgrade_Params!$A$4:$K$23,10,FALSE)</f>
        <v/>
      </c>
      <c r="K113" s="26">
        <f>IF(D113&lt;=6,"Starter",IF(D113&lt;=15,"Midgame",IF(D113&lt;=28,"Late Midgame","Endgame")))</f>
        <v/>
      </c>
      <c r="L113" s="18">
        <f>IFERROR(F113/E113*1000,0)</f>
        <v/>
      </c>
    </row>
    <row r="114">
      <c r="A114" s="25">
        <f>VLOOKUP(B114,Upgrade_Params!$A$4:$K$23,2,FALSE)</f>
        <v/>
      </c>
      <c r="B114" s="20" t="inlineStr">
        <is>
          <t>Creator Bounties</t>
        </is>
      </c>
      <c r="C114" s="25" t="n">
        <v>6</v>
      </c>
      <c r="D114" s="25">
        <f>VLOOKUP(B114,Upgrade_Params!$A$4:$K$23,3,FALSE)</f>
        <v/>
      </c>
      <c r="E114" s="17">
        <f>ROUND(VLOOKUP(B114,Upgrade_Params!$A$4:$K$23,4,FALSE)*VLOOKUP(B114,Upgrade_Params!$A$4:$K$23,5,FALSE)^(C114-1),0)</f>
        <v/>
      </c>
      <c r="F114" s="17">
        <f>ROUND(VLOOKUP(B114,Upgrade_Params!$A$4:$K$23,6,FALSE)*VLOOKUP(B114,Upgrade_Params!$A$4:$K$23,7,FALSE)^(C114-1),0)</f>
        <v/>
      </c>
      <c r="G114" s="17">
        <f>SUMIFS($F$4:F114,$B$4:B114,B114)</f>
        <v/>
      </c>
      <c r="H114" s="19">
        <f>IFERROR(E114/F114,0)</f>
        <v/>
      </c>
      <c r="I114" s="20">
        <f>VLOOKUP(B114,Upgrade_Params!$A$4:$K$23,9,FALSE)</f>
        <v/>
      </c>
      <c r="J114" s="20">
        <f>VLOOKUP(B114,Upgrade_Params!$A$4:$K$23,10,FALSE)</f>
        <v/>
      </c>
      <c r="K114" s="26">
        <f>IF(D114&lt;=6,"Starter",IF(D114&lt;=15,"Midgame",IF(D114&lt;=28,"Late Midgame","Endgame")))</f>
        <v/>
      </c>
      <c r="L114" s="18">
        <f>IFERROR(F114/E114*1000,0)</f>
        <v/>
      </c>
    </row>
    <row r="115">
      <c r="A115" s="25">
        <f>VLOOKUP(B115,Upgrade_Params!$A$4:$K$23,2,FALSE)</f>
        <v/>
      </c>
      <c r="B115" s="20" t="inlineStr">
        <is>
          <t>Creator Bounties</t>
        </is>
      </c>
      <c r="C115" s="25" t="n">
        <v>7</v>
      </c>
      <c r="D115" s="25">
        <f>VLOOKUP(B115,Upgrade_Params!$A$4:$K$23,3,FALSE)</f>
        <v/>
      </c>
      <c r="E115" s="17">
        <f>ROUND(VLOOKUP(B115,Upgrade_Params!$A$4:$K$23,4,FALSE)*VLOOKUP(B115,Upgrade_Params!$A$4:$K$23,5,FALSE)^(C115-1),0)</f>
        <v/>
      </c>
      <c r="F115" s="17">
        <f>ROUND(VLOOKUP(B115,Upgrade_Params!$A$4:$K$23,6,FALSE)*VLOOKUP(B115,Upgrade_Params!$A$4:$K$23,7,FALSE)^(C115-1),0)</f>
        <v/>
      </c>
      <c r="G115" s="17">
        <f>SUMIFS($F$4:F115,$B$4:B115,B115)</f>
        <v/>
      </c>
      <c r="H115" s="19">
        <f>IFERROR(E115/F115,0)</f>
        <v/>
      </c>
      <c r="I115" s="20">
        <f>VLOOKUP(B115,Upgrade_Params!$A$4:$K$23,9,FALSE)</f>
        <v/>
      </c>
      <c r="J115" s="20">
        <f>VLOOKUP(B115,Upgrade_Params!$A$4:$K$23,10,FALSE)</f>
        <v/>
      </c>
      <c r="K115" s="26">
        <f>IF(D115&lt;=6,"Starter",IF(D115&lt;=15,"Midgame",IF(D115&lt;=28,"Late Midgame","Endgame")))</f>
        <v/>
      </c>
      <c r="L115" s="18">
        <f>IFERROR(F115/E115*1000,0)</f>
        <v/>
      </c>
    </row>
    <row r="116">
      <c r="A116" s="25">
        <f>VLOOKUP(B116,Upgrade_Params!$A$4:$K$23,2,FALSE)</f>
        <v/>
      </c>
      <c r="B116" s="20" t="inlineStr">
        <is>
          <t>Creator Bounties</t>
        </is>
      </c>
      <c r="C116" s="25" t="n">
        <v>8</v>
      </c>
      <c r="D116" s="25">
        <f>VLOOKUP(B116,Upgrade_Params!$A$4:$K$23,3,FALSE)</f>
        <v/>
      </c>
      <c r="E116" s="17">
        <f>ROUND(VLOOKUP(B116,Upgrade_Params!$A$4:$K$23,4,FALSE)*VLOOKUP(B116,Upgrade_Params!$A$4:$K$23,5,FALSE)^(C116-1),0)</f>
        <v/>
      </c>
      <c r="F116" s="17">
        <f>ROUND(VLOOKUP(B116,Upgrade_Params!$A$4:$K$23,6,FALSE)*VLOOKUP(B116,Upgrade_Params!$A$4:$K$23,7,FALSE)^(C116-1),0)</f>
        <v/>
      </c>
      <c r="G116" s="17">
        <f>SUMIFS($F$4:F116,$B$4:B116,B116)</f>
        <v/>
      </c>
      <c r="H116" s="19">
        <f>IFERROR(E116/F116,0)</f>
        <v/>
      </c>
      <c r="I116" s="20">
        <f>VLOOKUP(B116,Upgrade_Params!$A$4:$K$23,9,FALSE)</f>
        <v/>
      </c>
      <c r="J116" s="20">
        <f>VLOOKUP(B116,Upgrade_Params!$A$4:$K$23,10,FALSE)</f>
        <v/>
      </c>
      <c r="K116" s="26">
        <f>IF(D116&lt;=6,"Starter",IF(D116&lt;=15,"Midgame",IF(D116&lt;=28,"Late Midgame","Endgame")))</f>
        <v/>
      </c>
      <c r="L116" s="18">
        <f>IFERROR(F116/E116*1000,0)</f>
        <v/>
      </c>
    </row>
    <row r="117">
      <c r="A117" s="25">
        <f>VLOOKUP(B117,Upgrade_Params!$A$4:$K$23,2,FALSE)</f>
        <v/>
      </c>
      <c r="B117" s="20" t="inlineStr">
        <is>
          <t>Creator Bounties</t>
        </is>
      </c>
      <c r="C117" s="25" t="n">
        <v>9</v>
      </c>
      <c r="D117" s="25">
        <f>VLOOKUP(B117,Upgrade_Params!$A$4:$K$23,3,FALSE)</f>
        <v/>
      </c>
      <c r="E117" s="17">
        <f>ROUND(VLOOKUP(B117,Upgrade_Params!$A$4:$K$23,4,FALSE)*VLOOKUP(B117,Upgrade_Params!$A$4:$K$23,5,FALSE)^(C117-1),0)</f>
        <v/>
      </c>
      <c r="F117" s="17">
        <f>ROUND(VLOOKUP(B117,Upgrade_Params!$A$4:$K$23,6,FALSE)*VLOOKUP(B117,Upgrade_Params!$A$4:$K$23,7,FALSE)^(C117-1),0)</f>
        <v/>
      </c>
      <c r="G117" s="17">
        <f>SUMIFS($F$4:F117,$B$4:B117,B117)</f>
        <v/>
      </c>
      <c r="H117" s="19">
        <f>IFERROR(E117/F117,0)</f>
        <v/>
      </c>
      <c r="I117" s="20">
        <f>VLOOKUP(B117,Upgrade_Params!$A$4:$K$23,9,FALSE)</f>
        <v/>
      </c>
      <c r="J117" s="20">
        <f>VLOOKUP(B117,Upgrade_Params!$A$4:$K$23,10,FALSE)</f>
        <v/>
      </c>
      <c r="K117" s="26">
        <f>IF(D117&lt;=6,"Starter",IF(D117&lt;=15,"Midgame",IF(D117&lt;=28,"Late Midgame","Endgame")))</f>
        <v/>
      </c>
      <c r="L117" s="18">
        <f>IFERROR(F117/E117*1000,0)</f>
        <v/>
      </c>
    </row>
    <row r="118">
      <c r="A118" s="25">
        <f>VLOOKUP(B118,Upgrade_Params!$A$4:$K$23,2,FALSE)</f>
        <v/>
      </c>
      <c r="B118" s="20" t="inlineStr">
        <is>
          <t>Creator Bounties</t>
        </is>
      </c>
      <c r="C118" s="25" t="n">
        <v>10</v>
      </c>
      <c r="D118" s="25">
        <f>VLOOKUP(B118,Upgrade_Params!$A$4:$K$23,3,FALSE)</f>
        <v/>
      </c>
      <c r="E118" s="17">
        <f>ROUND(VLOOKUP(B118,Upgrade_Params!$A$4:$K$23,4,FALSE)*VLOOKUP(B118,Upgrade_Params!$A$4:$K$23,5,FALSE)^(C118-1),0)</f>
        <v/>
      </c>
      <c r="F118" s="17">
        <f>ROUND(VLOOKUP(B118,Upgrade_Params!$A$4:$K$23,6,FALSE)*VLOOKUP(B118,Upgrade_Params!$A$4:$K$23,7,FALSE)^(C118-1),0)</f>
        <v/>
      </c>
      <c r="G118" s="17">
        <f>SUMIFS($F$4:F118,$B$4:B118,B118)</f>
        <v/>
      </c>
      <c r="H118" s="19">
        <f>IFERROR(E118/F118,0)</f>
        <v/>
      </c>
      <c r="I118" s="20">
        <f>VLOOKUP(B118,Upgrade_Params!$A$4:$K$23,9,FALSE)</f>
        <v/>
      </c>
      <c r="J118" s="20">
        <f>VLOOKUP(B118,Upgrade_Params!$A$4:$K$23,10,FALSE)</f>
        <v/>
      </c>
      <c r="K118" s="26">
        <f>IF(D118&lt;=6,"Starter",IF(D118&lt;=15,"Midgame",IF(D118&lt;=28,"Late Midgame","Endgame")))</f>
        <v/>
      </c>
      <c r="L118" s="18">
        <f>IFERROR(F118/E118*1000,0)</f>
        <v/>
      </c>
    </row>
    <row r="119">
      <c r="A119" s="25">
        <f>VLOOKUP(B119,Upgrade_Params!$A$4:$K$23,2,FALSE)</f>
        <v/>
      </c>
      <c r="B119" s="20" t="inlineStr">
        <is>
          <t>Creator Bounties</t>
        </is>
      </c>
      <c r="C119" s="25" t="n">
        <v>11</v>
      </c>
      <c r="D119" s="25">
        <f>VLOOKUP(B119,Upgrade_Params!$A$4:$K$23,3,FALSE)</f>
        <v/>
      </c>
      <c r="E119" s="17">
        <f>ROUND(VLOOKUP(B119,Upgrade_Params!$A$4:$K$23,4,FALSE)*VLOOKUP(B119,Upgrade_Params!$A$4:$K$23,5,FALSE)^(C119-1),0)</f>
        <v/>
      </c>
      <c r="F119" s="17">
        <f>ROUND(VLOOKUP(B119,Upgrade_Params!$A$4:$K$23,6,FALSE)*VLOOKUP(B119,Upgrade_Params!$A$4:$K$23,7,FALSE)^(C119-1),0)</f>
        <v/>
      </c>
      <c r="G119" s="17">
        <f>SUMIFS($F$4:F119,$B$4:B119,B119)</f>
        <v/>
      </c>
      <c r="H119" s="19">
        <f>IFERROR(E119/F119,0)</f>
        <v/>
      </c>
      <c r="I119" s="20">
        <f>VLOOKUP(B119,Upgrade_Params!$A$4:$K$23,9,FALSE)</f>
        <v/>
      </c>
      <c r="J119" s="20">
        <f>VLOOKUP(B119,Upgrade_Params!$A$4:$K$23,10,FALSE)</f>
        <v/>
      </c>
      <c r="K119" s="26">
        <f>IF(D119&lt;=6,"Starter",IF(D119&lt;=15,"Midgame",IF(D119&lt;=28,"Late Midgame","Endgame")))</f>
        <v/>
      </c>
      <c r="L119" s="18">
        <f>IFERROR(F119/E119*1000,0)</f>
        <v/>
      </c>
    </row>
    <row r="120">
      <c r="A120" s="25">
        <f>VLOOKUP(B120,Upgrade_Params!$A$4:$K$23,2,FALSE)</f>
        <v/>
      </c>
      <c r="B120" s="20" t="inlineStr">
        <is>
          <t>Creator Bounties</t>
        </is>
      </c>
      <c r="C120" s="25" t="n">
        <v>12</v>
      </c>
      <c r="D120" s="25">
        <f>VLOOKUP(B120,Upgrade_Params!$A$4:$K$23,3,FALSE)</f>
        <v/>
      </c>
      <c r="E120" s="17">
        <f>ROUND(VLOOKUP(B120,Upgrade_Params!$A$4:$K$23,4,FALSE)*VLOOKUP(B120,Upgrade_Params!$A$4:$K$23,5,FALSE)^(C120-1),0)</f>
        <v/>
      </c>
      <c r="F120" s="17">
        <f>ROUND(VLOOKUP(B120,Upgrade_Params!$A$4:$K$23,6,FALSE)*VLOOKUP(B120,Upgrade_Params!$A$4:$K$23,7,FALSE)^(C120-1),0)</f>
        <v/>
      </c>
      <c r="G120" s="17">
        <f>SUMIFS($F$4:F120,$B$4:B120,B120)</f>
        <v/>
      </c>
      <c r="H120" s="19">
        <f>IFERROR(E120/F120,0)</f>
        <v/>
      </c>
      <c r="I120" s="20">
        <f>VLOOKUP(B120,Upgrade_Params!$A$4:$K$23,9,FALSE)</f>
        <v/>
      </c>
      <c r="J120" s="20">
        <f>VLOOKUP(B120,Upgrade_Params!$A$4:$K$23,10,FALSE)</f>
        <v/>
      </c>
      <c r="K120" s="26">
        <f>IF(D120&lt;=6,"Starter",IF(D120&lt;=15,"Midgame",IF(D120&lt;=28,"Late Midgame","Endgame")))</f>
        <v/>
      </c>
      <c r="L120" s="18">
        <f>IFERROR(F120/E120*1000,0)</f>
        <v/>
      </c>
    </row>
    <row r="121">
      <c r="A121" s="25">
        <f>VLOOKUP(B121,Upgrade_Params!$A$4:$K$23,2,FALSE)</f>
        <v/>
      </c>
      <c r="B121" s="20" t="inlineStr">
        <is>
          <t>Creator Bounties</t>
        </is>
      </c>
      <c r="C121" s="25" t="n">
        <v>13</v>
      </c>
      <c r="D121" s="25">
        <f>VLOOKUP(B121,Upgrade_Params!$A$4:$K$23,3,FALSE)</f>
        <v/>
      </c>
      <c r="E121" s="17">
        <f>ROUND(VLOOKUP(B121,Upgrade_Params!$A$4:$K$23,4,FALSE)*VLOOKUP(B121,Upgrade_Params!$A$4:$K$23,5,FALSE)^(C121-1),0)</f>
        <v/>
      </c>
      <c r="F121" s="17">
        <f>ROUND(VLOOKUP(B121,Upgrade_Params!$A$4:$K$23,6,FALSE)*VLOOKUP(B121,Upgrade_Params!$A$4:$K$23,7,FALSE)^(C121-1),0)</f>
        <v/>
      </c>
      <c r="G121" s="17">
        <f>SUMIFS($F$4:F121,$B$4:B121,B121)</f>
        <v/>
      </c>
      <c r="H121" s="19">
        <f>IFERROR(E121/F121,0)</f>
        <v/>
      </c>
      <c r="I121" s="20">
        <f>VLOOKUP(B121,Upgrade_Params!$A$4:$K$23,9,FALSE)</f>
        <v/>
      </c>
      <c r="J121" s="20">
        <f>VLOOKUP(B121,Upgrade_Params!$A$4:$K$23,10,FALSE)</f>
        <v/>
      </c>
      <c r="K121" s="26">
        <f>IF(D121&lt;=6,"Starter",IF(D121&lt;=15,"Midgame",IF(D121&lt;=28,"Late Midgame","Endgame")))</f>
        <v/>
      </c>
      <c r="L121" s="18">
        <f>IFERROR(F121/E121*1000,0)</f>
        <v/>
      </c>
    </row>
    <row r="122">
      <c r="A122" s="25">
        <f>VLOOKUP(B122,Upgrade_Params!$A$4:$K$23,2,FALSE)</f>
        <v/>
      </c>
      <c r="B122" s="20" t="inlineStr">
        <is>
          <t>Creator Bounties</t>
        </is>
      </c>
      <c r="C122" s="25" t="n">
        <v>14</v>
      </c>
      <c r="D122" s="25">
        <f>VLOOKUP(B122,Upgrade_Params!$A$4:$K$23,3,FALSE)</f>
        <v/>
      </c>
      <c r="E122" s="17">
        <f>ROUND(VLOOKUP(B122,Upgrade_Params!$A$4:$K$23,4,FALSE)*VLOOKUP(B122,Upgrade_Params!$A$4:$K$23,5,FALSE)^(C122-1),0)</f>
        <v/>
      </c>
      <c r="F122" s="17">
        <f>ROUND(VLOOKUP(B122,Upgrade_Params!$A$4:$K$23,6,FALSE)*VLOOKUP(B122,Upgrade_Params!$A$4:$K$23,7,FALSE)^(C122-1),0)</f>
        <v/>
      </c>
      <c r="G122" s="17">
        <f>SUMIFS($F$4:F122,$B$4:B122,B122)</f>
        <v/>
      </c>
      <c r="H122" s="19">
        <f>IFERROR(E122/F122,0)</f>
        <v/>
      </c>
      <c r="I122" s="20">
        <f>VLOOKUP(B122,Upgrade_Params!$A$4:$K$23,9,FALSE)</f>
        <v/>
      </c>
      <c r="J122" s="20">
        <f>VLOOKUP(B122,Upgrade_Params!$A$4:$K$23,10,FALSE)</f>
        <v/>
      </c>
      <c r="K122" s="26">
        <f>IF(D122&lt;=6,"Starter",IF(D122&lt;=15,"Midgame",IF(D122&lt;=28,"Late Midgame","Endgame")))</f>
        <v/>
      </c>
      <c r="L122" s="18">
        <f>IFERROR(F122/E122*1000,0)</f>
        <v/>
      </c>
    </row>
    <row r="123">
      <c r="A123" s="25">
        <f>VLOOKUP(B123,Upgrade_Params!$A$4:$K$23,2,FALSE)</f>
        <v/>
      </c>
      <c r="B123" s="20" t="inlineStr">
        <is>
          <t>Creator Bounties</t>
        </is>
      </c>
      <c r="C123" s="25" t="n">
        <v>15</v>
      </c>
      <c r="D123" s="25">
        <f>VLOOKUP(B123,Upgrade_Params!$A$4:$K$23,3,FALSE)</f>
        <v/>
      </c>
      <c r="E123" s="17">
        <f>ROUND(VLOOKUP(B123,Upgrade_Params!$A$4:$K$23,4,FALSE)*VLOOKUP(B123,Upgrade_Params!$A$4:$K$23,5,FALSE)^(C123-1),0)</f>
        <v/>
      </c>
      <c r="F123" s="17">
        <f>ROUND(VLOOKUP(B123,Upgrade_Params!$A$4:$K$23,6,FALSE)*VLOOKUP(B123,Upgrade_Params!$A$4:$K$23,7,FALSE)^(C123-1),0)</f>
        <v/>
      </c>
      <c r="G123" s="17">
        <f>SUMIFS($F$4:F123,$B$4:B123,B123)</f>
        <v/>
      </c>
      <c r="H123" s="19">
        <f>IFERROR(E123/F123,0)</f>
        <v/>
      </c>
      <c r="I123" s="20">
        <f>VLOOKUP(B123,Upgrade_Params!$A$4:$K$23,9,FALSE)</f>
        <v/>
      </c>
      <c r="J123" s="20">
        <f>VLOOKUP(B123,Upgrade_Params!$A$4:$K$23,10,FALSE)</f>
        <v/>
      </c>
      <c r="K123" s="26">
        <f>IF(D123&lt;=6,"Starter",IF(D123&lt;=15,"Midgame",IF(D123&lt;=28,"Late Midgame","Endgame")))</f>
        <v/>
      </c>
      <c r="L123" s="18">
        <f>IFERROR(F123/E123*1000,0)</f>
        <v/>
      </c>
    </row>
    <row r="124">
      <c r="A124" s="25">
        <f>VLOOKUP(B124,Upgrade_Params!$A$4:$K$23,2,FALSE)</f>
        <v/>
      </c>
      <c r="B124" s="20" t="inlineStr">
        <is>
          <t>Wallet Vault</t>
        </is>
      </c>
      <c r="C124" s="25" t="n">
        <v>1</v>
      </c>
      <c r="D124" s="25">
        <f>VLOOKUP(B124,Upgrade_Params!$A$4:$K$23,3,FALSE)</f>
        <v/>
      </c>
      <c r="E124" s="17">
        <f>ROUND(VLOOKUP(B124,Upgrade_Params!$A$4:$K$23,4,FALSE)*VLOOKUP(B124,Upgrade_Params!$A$4:$K$23,5,FALSE)^(C124-1),0)</f>
        <v/>
      </c>
      <c r="F124" s="17">
        <f>ROUND(VLOOKUP(B124,Upgrade_Params!$A$4:$K$23,6,FALSE)*VLOOKUP(B124,Upgrade_Params!$A$4:$K$23,7,FALSE)^(C124-1),0)</f>
        <v/>
      </c>
      <c r="G124" s="17">
        <f>SUMIFS($F$4:F124,$B$4:B124,B124)</f>
        <v/>
      </c>
      <c r="H124" s="19">
        <f>IFERROR(E124/F124,0)</f>
        <v/>
      </c>
      <c r="I124" s="20">
        <f>VLOOKUP(B124,Upgrade_Params!$A$4:$K$23,9,FALSE)</f>
        <v/>
      </c>
      <c r="J124" s="20">
        <f>VLOOKUP(B124,Upgrade_Params!$A$4:$K$23,10,FALSE)</f>
        <v/>
      </c>
      <c r="K124" s="26">
        <f>IF(D124&lt;=6,"Starter",IF(D124&lt;=15,"Midgame",IF(D124&lt;=28,"Late Midgame","Endgame")))</f>
        <v/>
      </c>
      <c r="L124" s="18">
        <f>IFERROR(F124/E124*1000,0)</f>
        <v/>
      </c>
    </row>
    <row r="125">
      <c r="A125" s="25">
        <f>VLOOKUP(B125,Upgrade_Params!$A$4:$K$23,2,FALSE)</f>
        <v/>
      </c>
      <c r="B125" s="20" t="inlineStr">
        <is>
          <t>Wallet Vault</t>
        </is>
      </c>
      <c r="C125" s="25" t="n">
        <v>2</v>
      </c>
      <c r="D125" s="25">
        <f>VLOOKUP(B125,Upgrade_Params!$A$4:$K$23,3,FALSE)</f>
        <v/>
      </c>
      <c r="E125" s="17">
        <f>ROUND(VLOOKUP(B125,Upgrade_Params!$A$4:$K$23,4,FALSE)*VLOOKUP(B125,Upgrade_Params!$A$4:$K$23,5,FALSE)^(C125-1),0)</f>
        <v/>
      </c>
      <c r="F125" s="17">
        <f>ROUND(VLOOKUP(B125,Upgrade_Params!$A$4:$K$23,6,FALSE)*VLOOKUP(B125,Upgrade_Params!$A$4:$K$23,7,FALSE)^(C125-1),0)</f>
        <v/>
      </c>
      <c r="G125" s="17">
        <f>SUMIFS($F$4:F125,$B$4:B125,B125)</f>
        <v/>
      </c>
      <c r="H125" s="19">
        <f>IFERROR(E125/F125,0)</f>
        <v/>
      </c>
      <c r="I125" s="20">
        <f>VLOOKUP(B125,Upgrade_Params!$A$4:$K$23,9,FALSE)</f>
        <v/>
      </c>
      <c r="J125" s="20">
        <f>VLOOKUP(B125,Upgrade_Params!$A$4:$K$23,10,FALSE)</f>
        <v/>
      </c>
      <c r="K125" s="26">
        <f>IF(D125&lt;=6,"Starter",IF(D125&lt;=15,"Midgame",IF(D125&lt;=28,"Late Midgame","Endgame")))</f>
        <v/>
      </c>
      <c r="L125" s="18">
        <f>IFERROR(F125/E125*1000,0)</f>
        <v/>
      </c>
    </row>
    <row r="126">
      <c r="A126" s="25">
        <f>VLOOKUP(B126,Upgrade_Params!$A$4:$K$23,2,FALSE)</f>
        <v/>
      </c>
      <c r="B126" s="20" t="inlineStr">
        <is>
          <t>Wallet Vault</t>
        </is>
      </c>
      <c r="C126" s="25" t="n">
        <v>3</v>
      </c>
      <c r="D126" s="25">
        <f>VLOOKUP(B126,Upgrade_Params!$A$4:$K$23,3,FALSE)</f>
        <v/>
      </c>
      <c r="E126" s="17">
        <f>ROUND(VLOOKUP(B126,Upgrade_Params!$A$4:$K$23,4,FALSE)*VLOOKUP(B126,Upgrade_Params!$A$4:$K$23,5,FALSE)^(C126-1),0)</f>
        <v/>
      </c>
      <c r="F126" s="17">
        <f>ROUND(VLOOKUP(B126,Upgrade_Params!$A$4:$K$23,6,FALSE)*VLOOKUP(B126,Upgrade_Params!$A$4:$K$23,7,FALSE)^(C126-1),0)</f>
        <v/>
      </c>
      <c r="G126" s="17">
        <f>SUMIFS($F$4:F126,$B$4:B126,B126)</f>
        <v/>
      </c>
      <c r="H126" s="19">
        <f>IFERROR(E126/F126,0)</f>
        <v/>
      </c>
      <c r="I126" s="20">
        <f>VLOOKUP(B126,Upgrade_Params!$A$4:$K$23,9,FALSE)</f>
        <v/>
      </c>
      <c r="J126" s="20">
        <f>VLOOKUP(B126,Upgrade_Params!$A$4:$K$23,10,FALSE)</f>
        <v/>
      </c>
      <c r="K126" s="26">
        <f>IF(D126&lt;=6,"Starter",IF(D126&lt;=15,"Midgame",IF(D126&lt;=28,"Late Midgame","Endgame")))</f>
        <v/>
      </c>
      <c r="L126" s="18">
        <f>IFERROR(F126/E126*1000,0)</f>
        <v/>
      </c>
    </row>
    <row r="127">
      <c r="A127" s="25">
        <f>VLOOKUP(B127,Upgrade_Params!$A$4:$K$23,2,FALSE)</f>
        <v/>
      </c>
      <c r="B127" s="20" t="inlineStr">
        <is>
          <t>Wallet Vault</t>
        </is>
      </c>
      <c r="C127" s="25" t="n">
        <v>4</v>
      </c>
      <c r="D127" s="25">
        <f>VLOOKUP(B127,Upgrade_Params!$A$4:$K$23,3,FALSE)</f>
        <v/>
      </c>
      <c r="E127" s="17">
        <f>ROUND(VLOOKUP(B127,Upgrade_Params!$A$4:$K$23,4,FALSE)*VLOOKUP(B127,Upgrade_Params!$A$4:$K$23,5,FALSE)^(C127-1),0)</f>
        <v/>
      </c>
      <c r="F127" s="17">
        <f>ROUND(VLOOKUP(B127,Upgrade_Params!$A$4:$K$23,6,FALSE)*VLOOKUP(B127,Upgrade_Params!$A$4:$K$23,7,FALSE)^(C127-1),0)</f>
        <v/>
      </c>
      <c r="G127" s="17">
        <f>SUMIFS($F$4:F127,$B$4:B127,B127)</f>
        <v/>
      </c>
      <c r="H127" s="19">
        <f>IFERROR(E127/F127,0)</f>
        <v/>
      </c>
      <c r="I127" s="20">
        <f>VLOOKUP(B127,Upgrade_Params!$A$4:$K$23,9,FALSE)</f>
        <v/>
      </c>
      <c r="J127" s="20">
        <f>VLOOKUP(B127,Upgrade_Params!$A$4:$K$23,10,FALSE)</f>
        <v/>
      </c>
      <c r="K127" s="26">
        <f>IF(D127&lt;=6,"Starter",IF(D127&lt;=15,"Midgame",IF(D127&lt;=28,"Late Midgame","Endgame")))</f>
        <v/>
      </c>
      <c r="L127" s="18">
        <f>IFERROR(F127/E127*1000,0)</f>
        <v/>
      </c>
    </row>
    <row r="128">
      <c r="A128" s="25">
        <f>VLOOKUP(B128,Upgrade_Params!$A$4:$K$23,2,FALSE)</f>
        <v/>
      </c>
      <c r="B128" s="20" t="inlineStr">
        <is>
          <t>Wallet Vault</t>
        </is>
      </c>
      <c r="C128" s="25" t="n">
        <v>5</v>
      </c>
      <c r="D128" s="25">
        <f>VLOOKUP(B128,Upgrade_Params!$A$4:$K$23,3,FALSE)</f>
        <v/>
      </c>
      <c r="E128" s="17">
        <f>ROUND(VLOOKUP(B128,Upgrade_Params!$A$4:$K$23,4,FALSE)*VLOOKUP(B128,Upgrade_Params!$A$4:$K$23,5,FALSE)^(C128-1),0)</f>
        <v/>
      </c>
      <c r="F128" s="17">
        <f>ROUND(VLOOKUP(B128,Upgrade_Params!$A$4:$K$23,6,FALSE)*VLOOKUP(B128,Upgrade_Params!$A$4:$K$23,7,FALSE)^(C128-1),0)</f>
        <v/>
      </c>
      <c r="G128" s="17">
        <f>SUMIFS($F$4:F128,$B$4:B128,B128)</f>
        <v/>
      </c>
      <c r="H128" s="19">
        <f>IFERROR(E128/F128,0)</f>
        <v/>
      </c>
      <c r="I128" s="20">
        <f>VLOOKUP(B128,Upgrade_Params!$A$4:$K$23,9,FALSE)</f>
        <v/>
      </c>
      <c r="J128" s="20">
        <f>VLOOKUP(B128,Upgrade_Params!$A$4:$K$23,10,FALSE)</f>
        <v/>
      </c>
      <c r="K128" s="26">
        <f>IF(D128&lt;=6,"Starter",IF(D128&lt;=15,"Midgame",IF(D128&lt;=28,"Late Midgame","Endgame")))</f>
        <v/>
      </c>
      <c r="L128" s="18">
        <f>IFERROR(F128/E128*1000,0)</f>
        <v/>
      </c>
    </row>
    <row r="129">
      <c r="A129" s="25">
        <f>VLOOKUP(B129,Upgrade_Params!$A$4:$K$23,2,FALSE)</f>
        <v/>
      </c>
      <c r="B129" s="20" t="inlineStr">
        <is>
          <t>Wallet Vault</t>
        </is>
      </c>
      <c r="C129" s="25" t="n">
        <v>6</v>
      </c>
      <c r="D129" s="25">
        <f>VLOOKUP(B129,Upgrade_Params!$A$4:$K$23,3,FALSE)</f>
        <v/>
      </c>
      <c r="E129" s="17">
        <f>ROUND(VLOOKUP(B129,Upgrade_Params!$A$4:$K$23,4,FALSE)*VLOOKUP(B129,Upgrade_Params!$A$4:$K$23,5,FALSE)^(C129-1),0)</f>
        <v/>
      </c>
      <c r="F129" s="17">
        <f>ROUND(VLOOKUP(B129,Upgrade_Params!$A$4:$K$23,6,FALSE)*VLOOKUP(B129,Upgrade_Params!$A$4:$K$23,7,FALSE)^(C129-1),0)</f>
        <v/>
      </c>
      <c r="G129" s="17">
        <f>SUMIFS($F$4:F129,$B$4:B129,B129)</f>
        <v/>
      </c>
      <c r="H129" s="19">
        <f>IFERROR(E129/F129,0)</f>
        <v/>
      </c>
      <c r="I129" s="20">
        <f>VLOOKUP(B129,Upgrade_Params!$A$4:$K$23,9,FALSE)</f>
        <v/>
      </c>
      <c r="J129" s="20">
        <f>VLOOKUP(B129,Upgrade_Params!$A$4:$K$23,10,FALSE)</f>
        <v/>
      </c>
      <c r="K129" s="26">
        <f>IF(D129&lt;=6,"Starter",IF(D129&lt;=15,"Midgame",IF(D129&lt;=28,"Late Midgame","Endgame")))</f>
        <v/>
      </c>
      <c r="L129" s="18">
        <f>IFERROR(F129/E129*1000,0)</f>
        <v/>
      </c>
    </row>
    <row r="130">
      <c r="A130" s="25">
        <f>VLOOKUP(B130,Upgrade_Params!$A$4:$K$23,2,FALSE)</f>
        <v/>
      </c>
      <c r="B130" s="20" t="inlineStr">
        <is>
          <t>Wallet Vault</t>
        </is>
      </c>
      <c r="C130" s="25" t="n">
        <v>7</v>
      </c>
      <c r="D130" s="25">
        <f>VLOOKUP(B130,Upgrade_Params!$A$4:$K$23,3,FALSE)</f>
        <v/>
      </c>
      <c r="E130" s="17">
        <f>ROUND(VLOOKUP(B130,Upgrade_Params!$A$4:$K$23,4,FALSE)*VLOOKUP(B130,Upgrade_Params!$A$4:$K$23,5,FALSE)^(C130-1),0)</f>
        <v/>
      </c>
      <c r="F130" s="17">
        <f>ROUND(VLOOKUP(B130,Upgrade_Params!$A$4:$K$23,6,FALSE)*VLOOKUP(B130,Upgrade_Params!$A$4:$K$23,7,FALSE)^(C130-1),0)</f>
        <v/>
      </c>
      <c r="G130" s="17">
        <f>SUMIFS($F$4:F130,$B$4:B130,B130)</f>
        <v/>
      </c>
      <c r="H130" s="19">
        <f>IFERROR(E130/F130,0)</f>
        <v/>
      </c>
      <c r="I130" s="20">
        <f>VLOOKUP(B130,Upgrade_Params!$A$4:$K$23,9,FALSE)</f>
        <v/>
      </c>
      <c r="J130" s="20">
        <f>VLOOKUP(B130,Upgrade_Params!$A$4:$K$23,10,FALSE)</f>
        <v/>
      </c>
      <c r="K130" s="26">
        <f>IF(D130&lt;=6,"Starter",IF(D130&lt;=15,"Midgame",IF(D130&lt;=28,"Late Midgame","Endgame")))</f>
        <v/>
      </c>
      <c r="L130" s="18">
        <f>IFERROR(F130/E130*1000,0)</f>
        <v/>
      </c>
    </row>
    <row r="131">
      <c r="A131" s="25">
        <f>VLOOKUP(B131,Upgrade_Params!$A$4:$K$23,2,FALSE)</f>
        <v/>
      </c>
      <c r="B131" s="20" t="inlineStr">
        <is>
          <t>Wallet Vault</t>
        </is>
      </c>
      <c r="C131" s="25" t="n">
        <v>8</v>
      </c>
      <c r="D131" s="25">
        <f>VLOOKUP(B131,Upgrade_Params!$A$4:$K$23,3,FALSE)</f>
        <v/>
      </c>
      <c r="E131" s="17">
        <f>ROUND(VLOOKUP(B131,Upgrade_Params!$A$4:$K$23,4,FALSE)*VLOOKUP(B131,Upgrade_Params!$A$4:$K$23,5,FALSE)^(C131-1),0)</f>
        <v/>
      </c>
      <c r="F131" s="17">
        <f>ROUND(VLOOKUP(B131,Upgrade_Params!$A$4:$K$23,6,FALSE)*VLOOKUP(B131,Upgrade_Params!$A$4:$K$23,7,FALSE)^(C131-1),0)</f>
        <v/>
      </c>
      <c r="G131" s="17">
        <f>SUMIFS($F$4:F131,$B$4:B131,B131)</f>
        <v/>
      </c>
      <c r="H131" s="19">
        <f>IFERROR(E131/F131,0)</f>
        <v/>
      </c>
      <c r="I131" s="20">
        <f>VLOOKUP(B131,Upgrade_Params!$A$4:$K$23,9,FALSE)</f>
        <v/>
      </c>
      <c r="J131" s="20">
        <f>VLOOKUP(B131,Upgrade_Params!$A$4:$K$23,10,FALSE)</f>
        <v/>
      </c>
      <c r="K131" s="26">
        <f>IF(D131&lt;=6,"Starter",IF(D131&lt;=15,"Midgame",IF(D131&lt;=28,"Late Midgame","Endgame")))</f>
        <v/>
      </c>
      <c r="L131" s="18">
        <f>IFERROR(F131/E131*1000,0)</f>
        <v/>
      </c>
    </row>
    <row r="132">
      <c r="A132" s="25">
        <f>VLOOKUP(B132,Upgrade_Params!$A$4:$K$23,2,FALSE)</f>
        <v/>
      </c>
      <c r="B132" s="20" t="inlineStr">
        <is>
          <t>Wallet Vault</t>
        </is>
      </c>
      <c r="C132" s="25" t="n">
        <v>9</v>
      </c>
      <c r="D132" s="25">
        <f>VLOOKUP(B132,Upgrade_Params!$A$4:$K$23,3,FALSE)</f>
        <v/>
      </c>
      <c r="E132" s="17">
        <f>ROUND(VLOOKUP(B132,Upgrade_Params!$A$4:$K$23,4,FALSE)*VLOOKUP(B132,Upgrade_Params!$A$4:$K$23,5,FALSE)^(C132-1),0)</f>
        <v/>
      </c>
      <c r="F132" s="17">
        <f>ROUND(VLOOKUP(B132,Upgrade_Params!$A$4:$K$23,6,FALSE)*VLOOKUP(B132,Upgrade_Params!$A$4:$K$23,7,FALSE)^(C132-1),0)</f>
        <v/>
      </c>
      <c r="G132" s="17">
        <f>SUMIFS($F$4:F132,$B$4:B132,B132)</f>
        <v/>
      </c>
      <c r="H132" s="19">
        <f>IFERROR(E132/F132,0)</f>
        <v/>
      </c>
      <c r="I132" s="20">
        <f>VLOOKUP(B132,Upgrade_Params!$A$4:$K$23,9,FALSE)</f>
        <v/>
      </c>
      <c r="J132" s="20">
        <f>VLOOKUP(B132,Upgrade_Params!$A$4:$K$23,10,FALSE)</f>
        <v/>
      </c>
      <c r="K132" s="26">
        <f>IF(D132&lt;=6,"Starter",IF(D132&lt;=15,"Midgame",IF(D132&lt;=28,"Late Midgame","Endgame")))</f>
        <v/>
      </c>
      <c r="L132" s="18">
        <f>IFERROR(F132/E132*1000,0)</f>
        <v/>
      </c>
    </row>
    <row r="133">
      <c r="A133" s="25">
        <f>VLOOKUP(B133,Upgrade_Params!$A$4:$K$23,2,FALSE)</f>
        <v/>
      </c>
      <c r="B133" s="20" t="inlineStr">
        <is>
          <t>Wallet Vault</t>
        </is>
      </c>
      <c r="C133" s="25" t="n">
        <v>10</v>
      </c>
      <c r="D133" s="25">
        <f>VLOOKUP(B133,Upgrade_Params!$A$4:$K$23,3,FALSE)</f>
        <v/>
      </c>
      <c r="E133" s="17">
        <f>ROUND(VLOOKUP(B133,Upgrade_Params!$A$4:$K$23,4,FALSE)*VLOOKUP(B133,Upgrade_Params!$A$4:$K$23,5,FALSE)^(C133-1),0)</f>
        <v/>
      </c>
      <c r="F133" s="17">
        <f>ROUND(VLOOKUP(B133,Upgrade_Params!$A$4:$K$23,6,FALSE)*VLOOKUP(B133,Upgrade_Params!$A$4:$K$23,7,FALSE)^(C133-1),0)</f>
        <v/>
      </c>
      <c r="G133" s="17">
        <f>SUMIFS($F$4:F133,$B$4:B133,B133)</f>
        <v/>
      </c>
      <c r="H133" s="19">
        <f>IFERROR(E133/F133,0)</f>
        <v/>
      </c>
      <c r="I133" s="20">
        <f>VLOOKUP(B133,Upgrade_Params!$A$4:$K$23,9,FALSE)</f>
        <v/>
      </c>
      <c r="J133" s="20">
        <f>VLOOKUP(B133,Upgrade_Params!$A$4:$K$23,10,FALSE)</f>
        <v/>
      </c>
      <c r="K133" s="26">
        <f>IF(D133&lt;=6,"Starter",IF(D133&lt;=15,"Midgame",IF(D133&lt;=28,"Late Midgame","Endgame")))</f>
        <v/>
      </c>
      <c r="L133" s="18">
        <f>IFERROR(F133/E133*1000,0)</f>
        <v/>
      </c>
    </row>
    <row r="134">
      <c r="A134" s="25">
        <f>VLOOKUP(B134,Upgrade_Params!$A$4:$K$23,2,FALSE)</f>
        <v/>
      </c>
      <c r="B134" s="20" t="inlineStr">
        <is>
          <t>Wallet Vault</t>
        </is>
      </c>
      <c r="C134" s="25" t="n">
        <v>11</v>
      </c>
      <c r="D134" s="25">
        <f>VLOOKUP(B134,Upgrade_Params!$A$4:$K$23,3,FALSE)</f>
        <v/>
      </c>
      <c r="E134" s="17">
        <f>ROUND(VLOOKUP(B134,Upgrade_Params!$A$4:$K$23,4,FALSE)*VLOOKUP(B134,Upgrade_Params!$A$4:$K$23,5,FALSE)^(C134-1),0)</f>
        <v/>
      </c>
      <c r="F134" s="17">
        <f>ROUND(VLOOKUP(B134,Upgrade_Params!$A$4:$K$23,6,FALSE)*VLOOKUP(B134,Upgrade_Params!$A$4:$K$23,7,FALSE)^(C134-1),0)</f>
        <v/>
      </c>
      <c r="G134" s="17">
        <f>SUMIFS($F$4:F134,$B$4:B134,B134)</f>
        <v/>
      </c>
      <c r="H134" s="19">
        <f>IFERROR(E134/F134,0)</f>
        <v/>
      </c>
      <c r="I134" s="20">
        <f>VLOOKUP(B134,Upgrade_Params!$A$4:$K$23,9,FALSE)</f>
        <v/>
      </c>
      <c r="J134" s="20">
        <f>VLOOKUP(B134,Upgrade_Params!$A$4:$K$23,10,FALSE)</f>
        <v/>
      </c>
      <c r="K134" s="26">
        <f>IF(D134&lt;=6,"Starter",IF(D134&lt;=15,"Midgame",IF(D134&lt;=28,"Late Midgame","Endgame")))</f>
        <v/>
      </c>
      <c r="L134" s="18">
        <f>IFERROR(F134/E134*1000,0)</f>
        <v/>
      </c>
    </row>
    <row r="135">
      <c r="A135" s="25">
        <f>VLOOKUP(B135,Upgrade_Params!$A$4:$K$23,2,FALSE)</f>
        <v/>
      </c>
      <c r="B135" s="20" t="inlineStr">
        <is>
          <t>Wallet Vault</t>
        </is>
      </c>
      <c r="C135" s="25" t="n">
        <v>12</v>
      </c>
      <c r="D135" s="25">
        <f>VLOOKUP(B135,Upgrade_Params!$A$4:$K$23,3,FALSE)</f>
        <v/>
      </c>
      <c r="E135" s="17">
        <f>ROUND(VLOOKUP(B135,Upgrade_Params!$A$4:$K$23,4,FALSE)*VLOOKUP(B135,Upgrade_Params!$A$4:$K$23,5,FALSE)^(C135-1),0)</f>
        <v/>
      </c>
      <c r="F135" s="17">
        <f>ROUND(VLOOKUP(B135,Upgrade_Params!$A$4:$K$23,6,FALSE)*VLOOKUP(B135,Upgrade_Params!$A$4:$K$23,7,FALSE)^(C135-1),0)</f>
        <v/>
      </c>
      <c r="G135" s="17">
        <f>SUMIFS($F$4:F135,$B$4:B135,B135)</f>
        <v/>
      </c>
      <c r="H135" s="19">
        <f>IFERROR(E135/F135,0)</f>
        <v/>
      </c>
      <c r="I135" s="20">
        <f>VLOOKUP(B135,Upgrade_Params!$A$4:$K$23,9,FALSE)</f>
        <v/>
      </c>
      <c r="J135" s="20">
        <f>VLOOKUP(B135,Upgrade_Params!$A$4:$K$23,10,FALSE)</f>
        <v/>
      </c>
      <c r="K135" s="26">
        <f>IF(D135&lt;=6,"Starter",IF(D135&lt;=15,"Midgame",IF(D135&lt;=28,"Late Midgame","Endgame")))</f>
        <v/>
      </c>
      <c r="L135" s="18">
        <f>IFERROR(F135/E135*1000,0)</f>
        <v/>
      </c>
    </row>
    <row r="136">
      <c r="A136" s="25">
        <f>VLOOKUP(B136,Upgrade_Params!$A$4:$K$23,2,FALSE)</f>
        <v/>
      </c>
      <c r="B136" s="20" t="inlineStr">
        <is>
          <t>Wallet Vault</t>
        </is>
      </c>
      <c r="C136" s="25" t="n">
        <v>13</v>
      </c>
      <c r="D136" s="25">
        <f>VLOOKUP(B136,Upgrade_Params!$A$4:$K$23,3,FALSE)</f>
        <v/>
      </c>
      <c r="E136" s="17">
        <f>ROUND(VLOOKUP(B136,Upgrade_Params!$A$4:$K$23,4,FALSE)*VLOOKUP(B136,Upgrade_Params!$A$4:$K$23,5,FALSE)^(C136-1),0)</f>
        <v/>
      </c>
      <c r="F136" s="17">
        <f>ROUND(VLOOKUP(B136,Upgrade_Params!$A$4:$K$23,6,FALSE)*VLOOKUP(B136,Upgrade_Params!$A$4:$K$23,7,FALSE)^(C136-1),0)</f>
        <v/>
      </c>
      <c r="G136" s="17">
        <f>SUMIFS($F$4:F136,$B$4:B136,B136)</f>
        <v/>
      </c>
      <c r="H136" s="19">
        <f>IFERROR(E136/F136,0)</f>
        <v/>
      </c>
      <c r="I136" s="20">
        <f>VLOOKUP(B136,Upgrade_Params!$A$4:$K$23,9,FALSE)</f>
        <v/>
      </c>
      <c r="J136" s="20">
        <f>VLOOKUP(B136,Upgrade_Params!$A$4:$K$23,10,FALSE)</f>
        <v/>
      </c>
      <c r="K136" s="26">
        <f>IF(D136&lt;=6,"Starter",IF(D136&lt;=15,"Midgame",IF(D136&lt;=28,"Late Midgame","Endgame")))</f>
        <v/>
      </c>
      <c r="L136" s="18">
        <f>IFERROR(F136/E136*1000,0)</f>
        <v/>
      </c>
    </row>
    <row r="137">
      <c r="A137" s="25">
        <f>VLOOKUP(B137,Upgrade_Params!$A$4:$K$23,2,FALSE)</f>
        <v/>
      </c>
      <c r="B137" s="20" t="inlineStr">
        <is>
          <t>Wallet Vault</t>
        </is>
      </c>
      <c r="C137" s="25" t="n">
        <v>14</v>
      </c>
      <c r="D137" s="25">
        <f>VLOOKUP(B137,Upgrade_Params!$A$4:$K$23,3,FALSE)</f>
        <v/>
      </c>
      <c r="E137" s="17">
        <f>ROUND(VLOOKUP(B137,Upgrade_Params!$A$4:$K$23,4,FALSE)*VLOOKUP(B137,Upgrade_Params!$A$4:$K$23,5,FALSE)^(C137-1),0)</f>
        <v/>
      </c>
      <c r="F137" s="17">
        <f>ROUND(VLOOKUP(B137,Upgrade_Params!$A$4:$K$23,6,FALSE)*VLOOKUP(B137,Upgrade_Params!$A$4:$K$23,7,FALSE)^(C137-1),0)</f>
        <v/>
      </c>
      <c r="G137" s="17">
        <f>SUMIFS($F$4:F137,$B$4:B137,B137)</f>
        <v/>
      </c>
      <c r="H137" s="19">
        <f>IFERROR(E137/F137,0)</f>
        <v/>
      </c>
      <c r="I137" s="20">
        <f>VLOOKUP(B137,Upgrade_Params!$A$4:$K$23,9,FALSE)</f>
        <v/>
      </c>
      <c r="J137" s="20">
        <f>VLOOKUP(B137,Upgrade_Params!$A$4:$K$23,10,FALSE)</f>
        <v/>
      </c>
      <c r="K137" s="26">
        <f>IF(D137&lt;=6,"Starter",IF(D137&lt;=15,"Midgame",IF(D137&lt;=28,"Late Midgame","Endgame")))</f>
        <v/>
      </c>
      <c r="L137" s="18">
        <f>IFERROR(F137/E137*1000,0)</f>
        <v/>
      </c>
    </row>
    <row r="138">
      <c r="A138" s="25">
        <f>VLOOKUP(B138,Upgrade_Params!$A$4:$K$23,2,FALSE)</f>
        <v/>
      </c>
      <c r="B138" s="20" t="inlineStr">
        <is>
          <t>Wallet Vault</t>
        </is>
      </c>
      <c r="C138" s="25" t="n">
        <v>15</v>
      </c>
      <c r="D138" s="25">
        <f>VLOOKUP(B138,Upgrade_Params!$A$4:$K$23,3,FALSE)</f>
        <v/>
      </c>
      <c r="E138" s="17">
        <f>ROUND(VLOOKUP(B138,Upgrade_Params!$A$4:$K$23,4,FALSE)*VLOOKUP(B138,Upgrade_Params!$A$4:$K$23,5,FALSE)^(C138-1),0)</f>
        <v/>
      </c>
      <c r="F138" s="17">
        <f>ROUND(VLOOKUP(B138,Upgrade_Params!$A$4:$K$23,6,FALSE)*VLOOKUP(B138,Upgrade_Params!$A$4:$K$23,7,FALSE)^(C138-1),0)</f>
        <v/>
      </c>
      <c r="G138" s="17">
        <f>SUMIFS($F$4:F138,$B$4:B138,B138)</f>
        <v/>
      </c>
      <c r="H138" s="19">
        <f>IFERROR(E138/F138,0)</f>
        <v/>
      </c>
      <c r="I138" s="20">
        <f>VLOOKUP(B138,Upgrade_Params!$A$4:$K$23,9,FALSE)</f>
        <v/>
      </c>
      <c r="J138" s="20">
        <f>VLOOKUP(B138,Upgrade_Params!$A$4:$K$23,10,FALSE)</f>
        <v/>
      </c>
      <c r="K138" s="26">
        <f>IF(D138&lt;=6,"Starter",IF(D138&lt;=15,"Midgame",IF(D138&lt;=28,"Late Midgame","Endgame")))</f>
        <v/>
      </c>
      <c r="L138" s="18">
        <f>IFERROR(F138/E138*1000,0)</f>
        <v/>
      </c>
    </row>
    <row r="139">
      <c r="A139" s="25">
        <f>VLOOKUP(B139,Upgrade_Params!$A$4:$K$23,2,FALSE)</f>
        <v/>
      </c>
      <c r="B139" s="20" t="inlineStr">
        <is>
          <t>Quantum Cooler</t>
        </is>
      </c>
      <c r="C139" s="25" t="n">
        <v>1</v>
      </c>
      <c r="D139" s="25">
        <f>VLOOKUP(B139,Upgrade_Params!$A$4:$K$23,3,FALSE)</f>
        <v/>
      </c>
      <c r="E139" s="17">
        <f>ROUND(VLOOKUP(B139,Upgrade_Params!$A$4:$K$23,4,FALSE)*VLOOKUP(B139,Upgrade_Params!$A$4:$K$23,5,FALSE)^(C139-1),0)</f>
        <v/>
      </c>
      <c r="F139" s="17">
        <f>ROUND(VLOOKUP(B139,Upgrade_Params!$A$4:$K$23,6,FALSE)*VLOOKUP(B139,Upgrade_Params!$A$4:$K$23,7,FALSE)^(C139-1),0)</f>
        <v/>
      </c>
      <c r="G139" s="17">
        <f>SUMIFS($F$4:F139,$B$4:B139,B139)</f>
        <v/>
      </c>
      <c r="H139" s="19">
        <f>IFERROR(E139/F139,0)</f>
        <v/>
      </c>
      <c r="I139" s="20">
        <f>VLOOKUP(B139,Upgrade_Params!$A$4:$K$23,9,FALSE)</f>
        <v/>
      </c>
      <c r="J139" s="20">
        <f>VLOOKUP(B139,Upgrade_Params!$A$4:$K$23,10,FALSE)</f>
        <v/>
      </c>
      <c r="K139" s="26">
        <f>IF(D139&lt;=6,"Starter",IF(D139&lt;=15,"Midgame",IF(D139&lt;=28,"Late Midgame","Endgame")))</f>
        <v/>
      </c>
      <c r="L139" s="18">
        <f>IFERROR(F139/E139*1000,0)</f>
        <v/>
      </c>
    </row>
    <row r="140">
      <c r="A140" s="25">
        <f>VLOOKUP(B140,Upgrade_Params!$A$4:$K$23,2,FALSE)</f>
        <v/>
      </c>
      <c r="B140" s="20" t="inlineStr">
        <is>
          <t>Quantum Cooler</t>
        </is>
      </c>
      <c r="C140" s="25" t="n">
        <v>2</v>
      </c>
      <c r="D140" s="25">
        <f>VLOOKUP(B140,Upgrade_Params!$A$4:$K$23,3,FALSE)</f>
        <v/>
      </c>
      <c r="E140" s="17">
        <f>ROUND(VLOOKUP(B140,Upgrade_Params!$A$4:$K$23,4,FALSE)*VLOOKUP(B140,Upgrade_Params!$A$4:$K$23,5,FALSE)^(C140-1),0)</f>
        <v/>
      </c>
      <c r="F140" s="17">
        <f>ROUND(VLOOKUP(B140,Upgrade_Params!$A$4:$K$23,6,FALSE)*VLOOKUP(B140,Upgrade_Params!$A$4:$K$23,7,FALSE)^(C140-1),0)</f>
        <v/>
      </c>
      <c r="G140" s="17">
        <f>SUMIFS($F$4:F140,$B$4:B140,B140)</f>
        <v/>
      </c>
      <c r="H140" s="19">
        <f>IFERROR(E140/F140,0)</f>
        <v/>
      </c>
      <c r="I140" s="20">
        <f>VLOOKUP(B140,Upgrade_Params!$A$4:$K$23,9,FALSE)</f>
        <v/>
      </c>
      <c r="J140" s="20">
        <f>VLOOKUP(B140,Upgrade_Params!$A$4:$K$23,10,FALSE)</f>
        <v/>
      </c>
      <c r="K140" s="26">
        <f>IF(D140&lt;=6,"Starter",IF(D140&lt;=15,"Midgame",IF(D140&lt;=28,"Late Midgame","Endgame")))</f>
        <v/>
      </c>
      <c r="L140" s="18">
        <f>IFERROR(F140/E140*1000,0)</f>
        <v/>
      </c>
    </row>
    <row r="141">
      <c r="A141" s="25">
        <f>VLOOKUP(B141,Upgrade_Params!$A$4:$K$23,2,FALSE)</f>
        <v/>
      </c>
      <c r="B141" s="20" t="inlineStr">
        <is>
          <t>Quantum Cooler</t>
        </is>
      </c>
      <c r="C141" s="25" t="n">
        <v>3</v>
      </c>
      <c r="D141" s="25">
        <f>VLOOKUP(B141,Upgrade_Params!$A$4:$K$23,3,FALSE)</f>
        <v/>
      </c>
      <c r="E141" s="17">
        <f>ROUND(VLOOKUP(B141,Upgrade_Params!$A$4:$K$23,4,FALSE)*VLOOKUP(B141,Upgrade_Params!$A$4:$K$23,5,FALSE)^(C141-1),0)</f>
        <v/>
      </c>
      <c r="F141" s="17">
        <f>ROUND(VLOOKUP(B141,Upgrade_Params!$A$4:$K$23,6,FALSE)*VLOOKUP(B141,Upgrade_Params!$A$4:$K$23,7,FALSE)^(C141-1),0)</f>
        <v/>
      </c>
      <c r="G141" s="17">
        <f>SUMIFS($F$4:F141,$B$4:B141,B141)</f>
        <v/>
      </c>
      <c r="H141" s="19">
        <f>IFERROR(E141/F141,0)</f>
        <v/>
      </c>
      <c r="I141" s="20">
        <f>VLOOKUP(B141,Upgrade_Params!$A$4:$K$23,9,FALSE)</f>
        <v/>
      </c>
      <c r="J141" s="20">
        <f>VLOOKUP(B141,Upgrade_Params!$A$4:$K$23,10,FALSE)</f>
        <v/>
      </c>
      <c r="K141" s="26">
        <f>IF(D141&lt;=6,"Starter",IF(D141&lt;=15,"Midgame",IF(D141&lt;=28,"Late Midgame","Endgame")))</f>
        <v/>
      </c>
      <c r="L141" s="18">
        <f>IFERROR(F141/E141*1000,0)</f>
        <v/>
      </c>
    </row>
    <row r="142">
      <c r="A142" s="25">
        <f>VLOOKUP(B142,Upgrade_Params!$A$4:$K$23,2,FALSE)</f>
        <v/>
      </c>
      <c r="B142" s="20" t="inlineStr">
        <is>
          <t>Quantum Cooler</t>
        </is>
      </c>
      <c r="C142" s="25" t="n">
        <v>4</v>
      </c>
      <c r="D142" s="25">
        <f>VLOOKUP(B142,Upgrade_Params!$A$4:$K$23,3,FALSE)</f>
        <v/>
      </c>
      <c r="E142" s="17">
        <f>ROUND(VLOOKUP(B142,Upgrade_Params!$A$4:$K$23,4,FALSE)*VLOOKUP(B142,Upgrade_Params!$A$4:$K$23,5,FALSE)^(C142-1),0)</f>
        <v/>
      </c>
      <c r="F142" s="17">
        <f>ROUND(VLOOKUP(B142,Upgrade_Params!$A$4:$K$23,6,FALSE)*VLOOKUP(B142,Upgrade_Params!$A$4:$K$23,7,FALSE)^(C142-1),0)</f>
        <v/>
      </c>
      <c r="G142" s="17">
        <f>SUMIFS($F$4:F142,$B$4:B142,B142)</f>
        <v/>
      </c>
      <c r="H142" s="19">
        <f>IFERROR(E142/F142,0)</f>
        <v/>
      </c>
      <c r="I142" s="20">
        <f>VLOOKUP(B142,Upgrade_Params!$A$4:$K$23,9,FALSE)</f>
        <v/>
      </c>
      <c r="J142" s="20">
        <f>VLOOKUP(B142,Upgrade_Params!$A$4:$K$23,10,FALSE)</f>
        <v/>
      </c>
      <c r="K142" s="26">
        <f>IF(D142&lt;=6,"Starter",IF(D142&lt;=15,"Midgame",IF(D142&lt;=28,"Late Midgame","Endgame")))</f>
        <v/>
      </c>
      <c r="L142" s="18">
        <f>IFERROR(F142/E142*1000,0)</f>
        <v/>
      </c>
    </row>
    <row r="143">
      <c r="A143" s="25">
        <f>VLOOKUP(B143,Upgrade_Params!$A$4:$K$23,2,FALSE)</f>
        <v/>
      </c>
      <c r="B143" s="20" t="inlineStr">
        <is>
          <t>Quantum Cooler</t>
        </is>
      </c>
      <c r="C143" s="25" t="n">
        <v>5</v>
      </c>
      <c r="D143" s="25">
        <f>VLOOKUP(B143,Upgrade_Params!$A$4:$K$23,3,FALSE)</f>
        <v/>
      </c>
      <c r="E143" s="17">
        <f>ROUND(VLOOKUP(B143,Upgrade_Params!$A$4:$K$23,4,FALSE)*VLOOKUP(B143,Upgrade_Params!$A$4:$K$23,5,FALSE)^(C143-1),0)</f>
        <v/>
      </c>
      <c r="F143" s="17">
        <f>ROUND(VLOOKUP(B143,Upgrade_Params!$A$4:$K$23,6,FALSE)*VLOOKUP(B143,Upgrade_Params!$A$4:$K$23,7,FALSE)^(C143-1),0)</f>
        <v/>
      </c>
      <c r="G143" s="17">
        <f>SUMIFS($F$4:F143,$B$4:B143,B143)</f>
        <v/>
      </c>
      <c r="H143" s="19">
        <f>IFERROR(E143/F143,0)</f>
        <v/>
      </c>
      <c r="I143" s="20">
        <f>VLOOKUP(B143,Upgrade_Params!$A$4:$K$23,9,FALSE)</f>
        <v/>
      </c>
      <c r="J143" s="20">
        <f>VLOOKUP(B143,Upgrade_Params!$A$4:$K$23,10,FALSE)</f>
        <v/>
      </c>
      <c r="K143" s="26">
        <f>IF(D143&lt;=6,"Starter",IF(D143&lt;=15,"Midgame",IF(D143&lt;=28,"Late Midgame","Endgame")))</f>
        <v/>
      </c>
      <c r="L143" s="18">
        <f>IFERROR(F143/E143*1000,0)</f>
        <v/>
      </c>
    </row>
    <row r="144">
      <c r="A144" s="25">
        <f>VLOOKUP(B144,Upgrade_Params!$A$4:$K$23,2,FALSE)</f>
        <v/>
      </c>
      <c r="B144" s="20" t="inlineStr">
        <is>
          <t>Quantum Cooler</t>
        </is>
      </c>
      <c r="C144" s="25" t="n">
        <v>6</v>
      </c>
      <c r="D144" s="25">
        <f>VLOOKUP(B144,Upgrade_Params!$A$4:$K$23,3,FALSE)</f>
        <v/>
      </c>
      <c r="E144" s="17">
        <f>ROUND(VLOOKUP(B144,Upgrade_Params!$A$4:$K$23,4,FALSE)*VLOOKUP(B144,Upgrade_Params!$A$4:$K$23,5,FALSE)^(C144-1),0)</f>
        <v/>
      </c>
      <c r="F144" s="17">
        <f>ROUND(VLOOKUP(B144,Upgrade_Params!$A$4:$K$23,6,FALSE)*VLOOKUP(B144,Upgrade_Params!$A$4:$K$23,7,FALSE)^(C144-1),0)</f>
        <v/>
      </c>
      <c r="G144" s="17">
        <f>SUMIFS($F$4:F144,$B$4:B144,B144)</f>
        <v/>
      </c>
      <c r="H144" s="19">
        <f>IFERROR(E144/F144,0)</f>
        <v/>
      </c>
      <c r="I144" s="20">
        <f>VLOOKUP(B144,Upgrade_Params!$A$4:$K$23,9,FALSE)</f>
        <v/>
      </c>
      <c r="J144" s="20">
        <f>VLOOKUP(B144,Upgrade_Params!$A$4:$K$23,10,FALSE)</f>
        <v/>
      </c>
      <c r="K144" s="26">
        <f>IF(D144&lt;=6,"Starter",IF(D144&lt;=15,"Midgame",IF(D144&lt;=28,"Late Midgame","Endgame")))</f>
        <v/>
      </c>
      <c r="L144" s="18">
        <f>IFERROR(F144/E144*1000,0)</f>
        <v/>
      </c>
    </row>
    <row r="145">
      <c r="A145" s="25">
        <f>VLOOKUP(B145,Upgrade_Params!$A$4:$K$23,2,FALSE)</f>
        <v/>
      </c>
      <c r="B145" s="20" t="inlineStr">
        <is>
          <t>Quantum Cooler</t>
        </is>
      </c>
      <c r="C145" s="25" t="n">
        <v>7</v>
      </c>
      <c r="D145" s="25">
        <f>VLOOKUP(B145,Upgrade_Params!$A$4:$K$23,3,FALSE)</f>
        <v/>
      </c>
      <c r="E145" s="17">
        <f>ROUND(VLOOKUP(B145,Upgrade_Params!$A$4:$K$23,4,FALSE)*VLOOKUP(B145,Upgrade_Params!$A$4:$K$23,5,FALSE)^(C145-1),0)</f>
        <v/>
      </c>
      <c r="F145" s="17">
        <f>ROUND(VLOOKUP(B145,Upgrade_Params!$A$4:$K$23,6,FALSE)*VLOOKUP(B145,Upgrade_Params!$A$4:$K$23,7,FALSE)^(C145-1),0)</f>
        <v/>
      </c>
      <c r="G145" s="17">
        <f>SUMIFS($F$4:F145,$B$4:B145,B145)</f>
        <v/>
      </c>
      <c r="H145" s="19">
        <f>IFERROR(E145/F145,0)</f>
        <v/>
      </c>
      <c r="I145" s="20">
        <f>VLOOKUP(B145,Upgrade_Params!$A$4:$K$23,9,FALSE)</f>
        <v/>
      </c>
      <c r="J145" s="20">
        <f>VLOOKUP(B145,Upgrade_Params!$A$4:$K$23,10,FALSE)</f>
        <v/>
      </c>
      <c r="K145" s="26">
        <f>IF(D145&lt;=6,"Starter",IF(D145&lt;=15,"Midgame",IF(D145&lt;=28,"Late Midgame","Endgame")))</f>
        <v/>
      </c>
      <c r="L145" s="18">
        <f>IFERROR(F145/E145*1000,0)</f>
        <v/>
      </c>
    </row>
    <row r="146">
      <c r="A146" s="25">
        <f>VLOOKUP(B146,Upgrade_Params!$A$4:$K$23,2,FALSE)</f>
        <v/>
      </c>
      <c r="B146" s="20" t="inlineStr">
        <is>
          <t>Quantum Cooler</t>
        </is>
      </c>
      <c r="C146" s="25" t="n">
        <v>8</v>
      </c>
      <c r="D146" s="25">
        <f>VLOOKUP(B146,Upgrade_Params!$A$4:$K$23,3,FALSE)</f>
        <v/>
      </c>
      <c r="E146" s="17">
        <f>ROUND(VLOOKUP(B146,Upgrade_Params!$A$4:$K$23,4,FALSE)*VLOOKUP(B146,Upgrade_Params!$A$4:$K$23,5,FALSE)^(C146-1),0)</f>
        <v/>
      </c>
      <c r="F146" s="17">
        <f>ROUND(VLOOKUP(B146,Upgrade_Params!$A$4:$K$23,6,FALSE)*VLOOKUP(B146,Upgrade_Params!$A$4:$K$23,7,FALSE)^(C146-1),0)</f>
        <v/>
      </c>
      <c r="G146" s="17">
        <f>SUMIFS($F$4:F146,$B$4:B146,B146)</f>
        <v/>
      </c>
      <c r="H146" s="19">
        <f>IFERROR(E146/F146,0)</f>
        <v/>
      </c>
      <c r="I146" s="20">
        <f>VLOOKUP(B146,Upgrade_Params!$A$4:$K$23,9,FALSE)</f>
        <v/>
      </c>
      <c r="J146" s="20">
        <f>VLOOKUP(B146,Upgrade_Params!$A$4:$K$23,10,FALSE)</f>
        <v/>
      </c>
      <c r="K146" s="26">
        <f>IF(D146&lt;=6,"Starter",IF(D146&lt;=15,"Midgame",IF(D146&lt;=28,"Late Midgame","Endgame")))</f>
        <v/>
      </c>
      <c r="L146" s="18">
        <f>IFERROR(F146/E146*1000,0)</f>
        <v/>
      </c>
    </row>
    <row r="147">
      <c r="A147" s="25">
        <f>VLOOKUP(B147,Upgrade_Params!$A$4:$K$23,2,FALSE)</f>
        <v/>
      </c>
      <c r="B147" s="20" t="inlineStr">
        <is>
          <t>Quantum Cooler</t>
        </is>
      </c>
      <c r="C147" s="25" t="n">
        <v>9</v>
      </c>
      <c r="D147" s="25">
        <f>VLOOKUP(B147,Upgrade_Params!$A$4:$K$23,3,FALSE)</f>
        <v/>
      </c>
      <c r="E147" s="17">
        <f>ROUND(VLOOKUP(B147,Upgrade_Params!$A$4:$K$23,4,FALSE)*VLOOKUP(B147,Upgrade_Params!$A$4:$K$23,5,FALSE)^(C147-1),0)</f>
        <v/>
      </c>
      <c r="F147" s="17">
        <f>ROUND(VLOOKUP(B147,Upgrade_Params!$A$4:$K$23,6,FALSE)*VLOOKUP(B147,Upgrade_Params!$A$4:$K$23,7,FALSE)^(C147-1),0)</f>
        <v/>
      </c>
      <c r="G147" s="17">
        <f>SUMIFS($F$4:F147,$B$4:B147,B147)</f>
        <v/>
      </c>
      <c r="H147" s="19">
        <f>IFERROR(E147/F147,0)</f>
        <v/>
      </c>
      <c r="I147" s="20">
        <f>VLOOKUP(B147,Upgrade_Params!$A$4:$K$23,9,FALSE)</f>
        <v/>
      </c>
      <c r="J147" s="20">
        <f>VLOOKUP(B147,Upgrade_Params!$A$4:$K$23,10,FALSE)</f>
        <v/>
      </c>
      <c r="K147" s="26">
        <f>IF(D147&lt;=6,"Starter",IF(D147&lt;=15,"Midgame",IF(D147&lt;=28,"Late Midgame","Endgame")))</f>
        <v/>
      </c>
      <c r="L147" s="18">
        <f>IFERROR(F147/E147*1000,0)</f>
        <v/>
      </c>
    </row>
    <row r="148">
      <c r="A148" s="25">
        <f>VLOOKUP(B148,Upgrade_Params!$A$4:$K$23,2,FALSE)</f>
        <v/>
      </c>
      <c r="B148" s="20" t="inlineStr">
        <is>
          <t>Quantum Cooler</t>
        </is>
      </c>
      <c r="C148" s="25" t="n">
        <v>10</v>
      </c>
      <c r="D148" s="25">
        <f>VLOOKUP(B148,Upgrade_Params!$A$4:$K$23,3,FALSE)</f>
        <v/>
      </c>
      <c r="E148" s="17">
        <f>ROUND(VLOOKUP(B148,Upgrade_Params!$A$4:$K$23,4,FALSE)*VLOOKUP(B148,Upgrade_Params!$A$4:$K$23,5,FALSE)^(C148-1),0)</f>
        <v/>
      </c>
      <c r="F148" s="17">
        <f>ROUND(VLOOKUP(B148,Upgrade_Params!$A$4:$K$23,6,FALSE)*VLOOKUP(B148,Upgrade_Params!$A$4:$K$23,7,FALSE)^(C148-1),0)</f>
        <v/>
      </c>
      <c r="G148" s="17">
        <f>SUMIFS($F$4:F148,$B$4:B148,B148)</f>
        <v/>
      </c>
      <c r="H148" s="19">
        <f>IFERROR(E148/F148,0)</f>
        <v/>
      </c>
      <c r="I148" s="20">
        <f>VLOOKUP(B148,Upgrade_Params!$A$4:$K$23,9,FALSE)</f>
        <v/>
      </c>
      <c r="J148" s="20">
        <f>VLOOKUP(B148,Upgrade_Params!$A$4:$K$23,10,FALSE)</f>
        <v/>
      </c>
      <c r="K148" s="26">
        <f>IF(D148&lt;=6,"Starter",IF(D148&lt;=15,"Midgame",IF(D148&lt;=28,"Late Midgame","Endgame")))</f>
        <v/>
      </c>
      <c r="L148" s="18">
        <f>IFERROR(F148/E148*1000,0)</f>
        <v/>
      </c>
    </row>
    <row r="149">
      <c r="A149" s="25">
        <f>VLOOKUP(B149,Upgrade_Params!$A$4:$K$23,2,FALSE)</f>
        <v/>
      </c>
      <c r="B149" s="20" t="inlineStr">
        <is>
          <t>Quantum Cooler</t>
        </is>
      </c>
      <c r="C149" s="25" t="n">
        <v>11</v>
      </c>
      <c r="D149" s="25">
        <f>VLOOKUP(B149,Upgrade_Params!$A$4:$K$23,3,FALSE)</f>
        <v/>
      </c>
      <c r="E149" s="17">
        <f>ROUND(VLOOKUP(B149,Upgrade_Params!$A$4:$K$23,4,FALSE)*VLOOKUP(B149,Upgrade_Params!$A$4:$K$23,5,FALSE)^(C149-1),0)</f>
        <v/>
      </c>
      <c r="F149" s="17">
        <f>ROUND(VLOOKUP(B149,Upgrade_Params!$A$4:$K$23,6,FALSE)*VLOOKUP(B149,Upgrade_Params!$A$4:$K$23,7,FALSE)^(C149-1),0)</f>
        <v/>
      </c>
      <c r="G149" s="17">
        <f>SUMIFS($F$4:F149,$B$4:B149,B149)</f>
        <v/>
      </c>
      <c r="H149" s="19">
        <f>IFERROR(E149/F149,0)</f>
        <v/>
      </c>
      <c r="I149" s="20">
        <f>VLOOKUP(B149,Upgrade_Params!$A$4:$K$23,9,FALSE)</f>
        <v/>
      </c>
      <c r="J149" s="20">
        <f>VLOOKUP(B149,Upgrade_Params!$A$4:$K$23,10,FALSE)</f>
        <v/>
      </c>
      <c r="K149" s="26">
        <f>IF(D149&lt;=6,"Starter",IF(D149&lt;=15,"Midgame",IF(D149&lt;=28,"Late Midgame","Endgame")))</f>
        <v/>
      </c>
      <c r="L149" s="18">
        <f>IFERROR(F149/E149*1000,0)</f>
        <v/>
      </c>
    </row>
    <row r="150">
      <c r="A150" s="25">
        <f>VLOOKUP(B150,Upgrade_Params!$A$4:$K$23,2,FALSE)</f>
        <v/>
      </c>
      <c r="B150" s="20" t="inlineStr">
        <is>
          <t>Quantum Cooler</t>
        </is>
      </c>
      <c r="C150" s="25" t="n">
        <v>12</v>
      </c>
      <c r="D150" s="25">
        <f>VLOOKUP(B150,Upgrade_Params!$A$4:$K$23,3,FALSE)</f>
        <v/>
      </c>
      <c r="E150" s="17">
        <f>ROUND(VLOOKUP(B150,Upgrade_Params!$A$4:$K$23,4,FALSE)*VLOOKUP(B150,Upgrade_Params!$A$4:$K$23,5,FALSE)^(C150-1),0)</f>
        <v/>
      </c>
      <c r="F150" s="17">
        <f>ROUND(VLOOKUP(B150,Upgrade_Params!$A$4:$K$23,6,FALSE)*VLOOKUP(B150,Upgrade_Params!$A$4:$K$23,7,FALSE)^(C150-1),0)</f>
        <v/>
      </c>
      <c r="G150" s="17">
        <f>SUMIFS($F$4:F150,$B$4:B150,B150)</f>
        <v/>
      </c>
      <c r="H150" s="19">
        <f>IFERROR(E150/F150,0)</f>
        <v/>
      </c>
      <c r="I150" s="20">
        <f>VLOOKUP(B150,Upgrade_Params!$A$4:$K$23,9,FALSE)</f>
        <v/>
      </c>
      <c r="J150" s="20">
        <f>VLOOKUP(B150,Upgrade_Params!$A$4:$K$23,10,FALSE)</f>
        <v/>
      </c>
      <c r="K150" s="26">
        <f>IF(D150&lt;=6,"Starter",IF(D150&lt;=15,"Midgame",IF(D150&lt;=28,"Late Midgame","Endgame")))</f>
        <v/>
      </c>
      <c r="L150" s="18">
        <f>IFERROR(F150/E150*1000,0)</f>
        <v/>
      </c>
    </row>
    <row r="151">
      <c r="A151" s="25">
        <f>VLOOKUP(B151,Upgrade_Params!$A$4:$K$23,2,FALSE)</f>
        <v/>
      </c>
      <c r="B151" s="20" t="inlineStr">
        <is>
          <t>Quantum Cooler</t>
        </is>
      </c>
      <c r="C151" s="25" t="n">
        <v>13</v>
      </c>
      <c r="D151" s="25">
        <f>VLOOKUP(B151,Upgrade_Params!$A$4:$K$23,3,FALSE)</f>
        <v/>
      </c>
      <c r="E151" s="17">
        <f>ROUND(VLOOKUP(B151,Upgrade_Params!$A$4:$K$23,4,FALSE)*VLOOKUP(B151,Upgrade_Params!$A$4:$K$23,5,FALSE)^(C151-1),0)</f>
        <v/>
      </c>
      <c r="F151" s="17">
        <f>ROUND(VLOOKUP(B151,Upgrade_Params!$A$4:$K$23,6,FALSE)*VLOOKUP(B151,Upgrade_Params!$A$4:$K$23,7,FALSE)^(C151-1),0)</f>
        <v/>
      </c>
      <c r="G151" s="17">
        <f>SUMIFS($F$4:F151,$B$4:B151,B151)</f>
        <v/>
      </c>
      <c r="H151" s="19">
        <f>IFERROR(E151/F151,0)</f>
        <v/>
      </c>
      <c r="I151" s="20">
        <f>VLOOKUP(B151,Upgrade_Params!$A$4:$K$23,9,FALSE)</f>
        <v/>
      </c>
      <c r="J151" s="20">
        <f>VLOOKUP(B151,Upgrade_Params!$A$4:$K$23,10,FALSE)</f>
        <v/>
      </c>
      <c r="K151" s="26">
        <f>IF(D151&lt;=6,"Starter",IF(D151&lt;=15,"Midgame",IF(D151&lt;=28,"Late Midgame","Endgame")))</f>
        <v/>
      </c>
      <c r="L151" s="18">
        <f>IFERROR(F151/E151*1000,0)</f>
        <v/>
      </c>
    </row>
    <row r="152">
      <c r="A152" s="25">
        <f>VLOOKUP(B152,Upgrade_Params!$A$4:$K$23,2,FALSE)</f>
        <v/>
      </c>
      <c r="B152" s="20" t="inlineStr">
        <is>
          <t>Quantum Cooler</t>
        </is>
      </c>
      <c r="C152" s="25" t="n">
        <v>14</v>
      </c>
      <c r="D152" s="25">
        <f>VLOOKUP(B152,Upgrade_Params!$A$4:$K$23,3,FALSE)</f>
        <v/>
      </c>
      <c r="E152" s="17">
        <f>ROUND(VLOOKUP(B152,Upgrade_Params!$A$4:$K$23,4,FALSE)*VLOOKUP(B152,Upgrade_Params!$A$4:$K$23,5,FALSE)^(C152-1),0)</f>
        <v/>
      </c>
      <c r="F152" s="17">
        <f>ROUND(VLOOKUP(B152,Upgrade_Params!$A$4:$K$23,6,FALSE)*VLOOKUP(B152,Upgrade_Params!$A$4:$K$23,7,FALSE)^(C152-1),0)</f>
        <v/>
      </c>
      <c r="G152" s="17">
        <f>SUMIFS($F$4:F152,$B$4:B152,B152)</f>
        <v/>
      </c>
      <c r="H152" s="19">
        <f>IFERROR(E152/F152,0)</f>
        <v/>
      </c>
      <c r="I152" s="20">
        <f>VLOOKUP(B152,Upgrade_Params!$A$4:$K$23,9,FALSE)</f>
        <v/>
      </c>
      <c r="J152" s="20">
        <f>VLOOKUP(B152,Upgrade_Params!$A$4:$K$23,10,FALSE)</f>
        <v/>
      </c>
      <c r="K152" s="26">
        <f>IF(D152&lt;=6,"Starter",IF(D152&lt;=15,"Midgame",IF(D152&lt;=28,"Late Midgame","Endgame")))</f>
        <v/>
      </c>
      <c r="L152" s="18">
        <f>IFERROR(F152/E152*1000,0)</f>
        <v/>
      </c>
    </row>
    <row r="153">
      <c r="A153" s="25">
        <f>VLOOKUP(B153,Upgrade_Params!$A$4:$K$23,2,FALSE)</f>
        <v/>
      </c>
      <c r="B153" s="20" t="inlineStr">
        <is>
          <t>Quantum Cooler</t>
        </is>
      </c>
      <c r="C153" s="25" t="n">
        <v>15</v>
      </c>
      <c r="D153" s="25">
        <f>VLOOKUP(B153,Upgrade_Params!$A$4:$K$23,3,FALSE)</f>
        <v/>
      </c>
      <c r="E153" s="17">
        <f>ROUND(VLOOKUP(B153,Upgrade_Params!$A$4:$K$23,4,FALSE)*VLOOKUP(B153,Upgrade_Params!$A$4:$K$23,5,FALSE)^(C153-1),0)</f>
        <v/>
      </c>
      <c r="F153" s="17">
        <f>ROUND(VLOOKUP(B153,Upgrade_Params!$A$4:$K$23,6,FALSE)*VLOOKUP(B153,Upgrade_Params!$A$4:$K$23,7,FALSE)^(C153-1),0)</f>
        <v/>
      </c>
      <c r="G153" s="17">
        <f>SUMIFS($F$4:F153,$B$4:B153,B153)</f>
        <v/>
      </c>
      <c r="H153" s="19">
        <f>IFERROR(E153/F153,0)</f>
        <v/>
      </c>
      <c r="I153" s="20">
        <f>VLOOKUP(B153,Upgrade_Params!$A$4:$K$23,9,FALSE)</f>
        <v/>
      </c>
      <c r="J153" s="20">
        <f>VLOOKUP(B153,Upgrade_Params!$A$4:$K$23,10,FALSE)</f>
        <v/>
      </c>
      <c r="K153" s="26">
        <f>IF(D153&lt;=6,"Starter",IF(D153&lt;=15,"Midgame",IF(D153&lt;=28,"Late Midgame","Endgame")))</f>
        <v/>
      </c>
      <c r="L153" s="18">
        <f>IFERROR(F153/E153*1000,0)</f>
        <v/>
      </c>
    </row>
    <row r="154">
      <c r="A154" s="25">
        <f>VLOOKUP(B154,Upgrade_Params!$A$4:$K$23,2,FALSE)</f>
        <v/>
      </c>
      <c r="B154" s="20" t="inlineStr">
        <is>
          <t>AI Optimizer</t>
        </is>
      </c>
      <c r="C154" s="25" t="n">
        <v>1</v>
      </c>
      <c r="D154" s="25">
        <f>VLOOKUP(B154,Upgrade_Params!$A$4:$K$23,3,FALSE)</f>
        <v/>
      </c>
      <c r="E154" s="17">
        <f>ROUND(VLOOKUP(B154,Upgrade_Params!$A$4:$K$23,4,FALSE)*VLOOKUP(B154,Upgrade_Params!$A$4:$K$23,5,FALSE)^(C154-1),0)</f>
        <v/>
      </c>
      <c r="F154" s="17">
        <f>ROUND(VLOOKUP(B154,Upgrade_Params!$A$4:$K$23,6,FALSE)*VLOOKUP(B154,Upgrade_Params!$A$4:$K$23,7,FALSE)^(C154-1),0)</f>
        <v/>
      </c>
      <c r="G154" s="17">
        <f>SUMIFS($F$4:F154,$B$4:B154,B154)</f>
        <v/>
      </c>
      <c r="H154" s="19">
        <f>IFERROR(E154/F154,0)</f>
        <v/>
      </c>
      <c r="I154" s="20">
        <f>VLOOKUP(B154,Upgrade_Params!$A$4:$K$23,9,FALSE)</f>
        <v/>
      </c>
      <c r="J154" s="20">
        <f>VLOOKUP(B154,Upgrade_Params!$A$4:$K$23,10,FALSE)</f>
        <v/>
      </c>
      <c r="K154" s="26">
        <f>IF(D154&lt;=6,"Starter",IF(D154&lt;=15,"Midgame",IF(D154&lt;=28,"Late Midgame","Endgame")))</f>
        <v/>
      </c>
      <c r="L154" s="18">
        <f>IFERROR(F154/E154*1000,0)</f>
        <v/>
      </c>
    </row>
    <row r="155">
      <c r="A155" s="25">
        <f>VLOOKUP(B155,Upgrade_Params!$A$4:$K$23,2,FALSE)</f>
        <v/>
      </c>
      <c r="B155" s="20" t="inlineStr">
        <is>
          <t>AI Optimizer</t>
        </is>
      </c>
      <c r="C155" s="25" t="n">
        <v>2</v>
      </c>
      <c r="D155" s="25">
        <f>VLOOKUP(B155,Upgrade_Params!$A$4:$K$23,3,FALSE)</f>
        <v/>
      </c>
      <c r="E155" s="17">
        <f>ROUND(VLOOKUP(B155,Upgrade_Params!$A$4:$K$23,4,FALSE)*VLOOKUP(B155,Upgrade_Params!$A$4:$K$23,5,FALSE)^(C155-1),0)</f>
        <v/>
      </c>
      <c r="F155" s="17">
        <f>ROUND(VLOOKUP(B155,Upgrade_Params!$A$4:$K$23,6,FALSE)*VLOOKUP(B155,Upgrade_Params!$A$4:$K$23,7,FALSE)^(C155-1),0)</f>
        <v/>
      </c>
      <c r="G155" s="17">
        <f>SUMIFS($F$4:F155,$B$4:B155,B155)</f>
        <v/>
      </c>
      <c r="H155" s="19">
        <f>IFERROR(E155/F155,0)</f>
        <v/>
      </c>
      <c r="I155" s="20">
        <f>VLOOKUP(B155,Upgrade_Params!$A$4:$K$23,9,FALSE)</f>
        <v/>
      </c>
      <c r="J155" s="20">
        <f>VLOOKUP(B155,Upgrade_Params!$A$4:$K$23,10,FALSE)</f>
        <v/>
      </c>
      <c r="K155" s="26">
        <f>IF(D155&lt;=6,"Starter",IF(D155&lt;=15,"Midgame",IF(D155&lt;=28,"Late Midgame","Endgame")))</f>
        <v/>
      </c>
      <c r="L155" s="18">
        <f>IFERROR(F155/E155*1000,0)</f>
        <v/>
      </c>
    </row>
    <row r="156">
      <c r="A156" s="25">
        <f>VLOOKUP(B156,Upgrade_Params!$A$4:$K$23,2,FALSE)</f>
        <v/>
      </c>
      <c r="B156" s="20" t="inlineStr">
        <is>
          <t>AI Optimizer</t>
        </is>
      </c>
      <c r="C156" s="25" t="n">
        <v>3</v>
      </c>
      <c r="D156" s="25">
        <f>VLOOKUP(B156,Upgrade_Params!$A$4:$K$23,3,FALSE)</f>
        <v/>
      </c>
      <c r="E156" s="17">
        <f>ROUND(VLOOKUP(B156,Upgrade_Params!$A$4:$K$23,4,FALSE)*VLOOKUP(B156,Upgrade_Params!$A$4:$K$23,5,FALSE)^(C156-1),0)</f>
        <v/>
      </c>
      <c r="F156" s="17">
        <f>ROUND(VLOOKUP(B156,Upgrade_Params!$A$4:$K$23,6,FALSE)*VLOOKUP(B156,Upgrade_Params!$A$4:$K$23,7,FALSE)^(C156-1),0)</f>
        <v/>
      </c>
      <c r="G156" s="17">
        <f>SUMIFS($F$4:F156,$B$4:B156,B156)</f>
        <v/>
      </c>
      <c r="H156" s="19">
        <f>IFERROR(E156/F156,0)</f>
        <v/>
      </c>
      <c r="I156" s="20">
        <f>VLOOKUP(B156,Upgrade_Params!$A$4:$K$23,9,FALSE)</f>
        <v/>
      </c>
      <c r="J156" s="20">
        <f>VLOOKUP(B156,Upgrade_Params!$A$4:$K$23,10,FALSE)</f>
        <v/>
      </c>
      <c r="K156" s="26">
        <f>IF(D156&lt;=6,"Starter",IF(D156&lt;=15,"Midgame",IF(D156&lt;=28,"Late Midgame","Endgame")))</f>
        <v/>
      </c>
      <c r="L156" s="18">
        <f>IFERROR(F156/E156*1000,0)</f>
        <v/>
      </c>
    </row>
    <row r="157">
      <c r="A157" s="25">
        <f>VLOOKUP(B157,Upgrade_Params!$A$4:$K$23,2,FALSE)</f>
        <v/>
      </c>
      <c r="B157" s="20" t="inlineStr">
        <is>
          <t>AI Optimizer</t>
        </is>
      </c>
      <c r="C157" s="25" t="n">
        <v>4</v>
      </c>
      <c r="D157" s="25">
        <f>VLOOKUP(B157,Upgrade_Params!$A$4:$K$23,3,FALSE)</f>
        <v/>
      </c>
      <c r="E157" s="17">
        <f>ROUND(VLOOKUP(B157,Upgrade_Params!$A$4:$K$23,4,FALSE)*VLOOKUP(B157,Upgrade_Params!$A$4:$K$23,5,FALSE)^(C157-1),0)</f>
        <v/>
      </c>
      <c r="F157" s="17">
        <f>ROUND(VLOOKUP(B157,Upgrade_Params!$A$4:$K$23,6,FALSE)*VLOOKUP(B157,Upgrade_Params!$A$4:$K$23,7,FALSE)^(C157-1),0)</f>
        <v/>
      </c>
      <c r="G157" s="17">
        <f>SUMIFS($F$4:F157,$B$4:B157,B157)</f>
        <v/>
      </c>
      <c r="H157" s="19">
        <f>IFERROR(E157/F157,0)</f>
        <v/>
      </c>
      <c r="I157" s="20">
        <f>VLOOKUP(B157,Upgrade_Params!$A$4:$K$23,9,FALSE)</f>
        <v/>
      </c>
      <c r="J157" s="20">
        <f>VLOOKUP(B157,Upgrade_Params!$A$4:$K$23,10,FALSE)</f>
        <v/>
      </c>
      <c r="K157" s="26">
        <f>IF(D157&lt;=6,"Starter",IF(D157&lt;=15,"Midgame",IF(D157&lt;=28,"Late Midgame","Endgame")))</f>
        <v/>
      </c>
      <c r="L157" s="18">
        <f>IFERROR(F157/E157*1000,0)</f>
        <v/>
      </c>
    </row>
    <row r="158">
      <c r="A158" s="25">
        <f>VLOOKUP(B158,Upgrade_Params!$A$4:$K$23,2,FALSE)</f>
        <v/>
      </c>
      <c r="B158" s="20" t="inlineStr">
        <is>
          <t>AI Optimizer</t>
        </is>
      </c>
      <c r="C158" s="25" t="n">
        <v>5</v>
      </c>
      <c r="D158" s="25">
        <f>VLOOKUP(B158,Upgrade_Params!$A$4:$K$23,3,FALSE)</f>
        <v/>
      </c>
      <c r="E158" s="17">
        <f>ROUND(VLOOKUP(B158,Upgrade_Params!$A$4:$K$23,4,FALSE)*VLOOKUP(B158,Upgrade_Params!$A$4:$K$23,5,FALSE)^(C158-1),0)</f>
        <v/>
      </c>
      <c r="F158" s="17">
        <f>ROUND(VLOOKUP(B158,Upgrade_Params!$A$4:$K$23,6,FALSE)*VLOOKUP(B158,Upgrade_Params!$A$4:$K$23,7,FALSE)^(C158-1),0)</f>
        <v/>
      </c>
      <c r="G158" s="17">
        <f>SUMIFS($F$4:F158,$B$4:B158,B158)</f>
        <v/>
      </c>
      <c r="H158" s="19">
        <f>IFERROR(E158/F158,0)</f>
        <v/>
      </c>
      <c r="I158" s="20">
        <f>VLOOKUP(B158,Upgrade_Params!$A$4:$K$23,9,FALSE)</f>
        <v/>
      </c>
      <c r="J158" s="20">
        <f>VLOOKUP(B158,Upgrade_Params!$A$4:$K$23,10,FALSE)</f>
        <v/>
      </c>
      <c r="K158" s="26">
        <f>IF(D158&lt;=6,"Starter",IF(D158&lt;=15,"Midgame",IF(D158&lt;=28,"Late Midgame","Endgame")))</f>
        <v/>
      </c>
      <c r="L158" s="18">
        <f>IFERROR(F158/E158*1000,0)</f>
        <v/>
      </c>
    </row>
    <row r="159">
      <c r="A159" s="25">
        <f>VLOOKUP(B159,Upgrade_Params!$A$4:$K$23,2,FALSE)</f>
        <v/>
      </c>
      <c r="B159" s="20" t="inlineStr">
        <is>
          <t>AI Optimizer</t>
        </is>
      </c>
      <c r="C159" s="25" t="n">
        <v>6</v>
      </c>
      <c r="D159" s="25">
        <f>VLOOKUP(B159,Upgrade_Params!$A$4:$K$23,3,FALSE)</f>
        <v/>
      </c>
      <c r="E159" s="17">
        <f>ROUND(VLOOKUP(B159,Upgrade_Params!$A$4:$K$23,4,FALSE)*VLOOKUP(B159,Upgrade_Params!$A$4:$K$23,5,FALSE)^(C159-1),0)</f>
        <v/>
      </c>
      <c r="F159" s="17">
        <f>ROUND(VLOOKUP(B159,Upgrade_Params!$A$4:$K$23,6,FALSE)*VLOOKUP(B159,Upgrade_Params!$A$4:$K$23,7,FALSE)^(C159-1),0)</f>
        <v/>
      </c>
      <c r="G159" s="17">
        <f>SUMIFS($F$4:F159,$B$4:B159,B159)</f>
        <v/>
      </c>
      <c r="H159" s="19">
        <f>IFERROR(E159/F159,0)</f>
        <v/>
      </c>
      <c r="I159" s="20">
        <f>VLOOKUP(B159,Upgrade_Params!$A$4:$K$23,9,FALSE)</f>
        <v/>
      </c>
      <c r="J159" s="20">
        <f>VLOOKUP(B159,Upgrade_Params!$A$4:$K$23,10,FALSE)</f>
        <v/>
      </c>
      <c r="K159" s="26">
        <f>IF(D159&lt;=6,"Starter",IF(D159&lt;=15,"Midgame",IF(D159&lt;=28,"Late Midgame","Endgame")))</f>
        <v/>
      </c>
      <c r="L159" s="18">
        <f>IFERROR(F159/E159*1000,0)</f>
        <v/>
      </c>
    </row>
    <row r="160">
      <c r="A160" s="25">
        <f>VLOOKUP(B160,Upgrade_Params!$A$4:$K$23,2,FALSE)</f>
        <v/>
      </c>
      <c r="B160" s="20" t="inlineStr">
        <is>
          <t>AI Optimizer</t>
        </is>
      </c>
      <c r="C160" s="25" t="n">
        <v>7</v>
      </c>
      <c r="D160" s="25">
        <f>VLOOKUP(B160,Upgrade_Params!$A$4:$K$23,3,FALSE)</f>
        <v/>
      </c>
      <c r="E160" s="17">
        <f>ROUND(VLOOKUP(B160,Upgrade_Params!$A$4:$K$23,4,FALSE)*VLOOKUP(B160,Upgrade_Params!$A$4:$K$23,5,FALSE)^(C160-1),0)</f>
        <v/>
      </c>
      <c r="F160" s="17">
        <f>ROUND(VLOOKUP(B160,Upgrade_Params!$A$4:$K$23,6,FALSE)*VLOOKUP(B160,Upgrade_Params!$A$4:$K$23,7,FALSE)^(C160-1),0)</f>
        <v/>
      </c>
      <c r="G160" s="17">
        <f>SUMIFS($F$4:F160,$B$4:B160,B160)</f>
        <v/>
      </c>
      <c r="H160" s="19">
        <f>IFERROR(E160/F160,0)</f>
        <v/>
      </c>
      <c r="I160" s="20">
        <f>VLOOKUP(B160,Upgrade_Params!$A$4:$K$23,9,FALSE)</f>
        <v/>
      </c>
      <c r="J160" s="20">
        <f>VLOOKUP(B160,Upgrade_Params!$A$4:$K$23,10,FALSE)</f>
        <v/>
      </c>
      <c r="K160" s="26">
        <f>IF(D160&lt;=6,"Starter",IF(D160&lt;=15,"Midgame",IF(D160&lt;=28,"Late Midgame","Endgame")))</f>
        <v/>
      </c>
      <c r="L160" s="18">
        <f>IFERROR(F160/E160*1000,0)</f>
        <v/>
      </c>
    </row>
    <row r="161">
      <c r="A161" s="25">
        <f>VLOOKUP(B161,Upgrade_Params!$A$4:$K$23,2,FALSE)</f>
        <v/>
      </c>
      <c r="B161" s="20" t="inlineStr">
        <is>
          <t>AI Optimizer</t>
        </is>
      </c>
      <c r="C161" s="25" t="n">
        <v>8</v>
      </c>
      <c r="D161" s="25">
        <f>VLOOKUP(B161,Upgrade_Params!$A$4:$K$23,3,FALSE)</f>
        <v/>
      </c>
      <c r="E161" s="17">
        <f>ROUND(VLOOKUP(B161,Upgrade_Params!$A$4:$K$23,4,FALSE)*VLOOKUP(B161,Upgrade_Params!$A$4:$K$23,5,FALSE)^(C161-1),0)</f>
        <v/>
      </c>
      <c r="F161" s="17">
        <f>ROUND(VLOOKUP(B161,Upgrade_Params!$A$4:$K$23,6,FALSE)*VLOOKUP(B161,Upgrade_Params!$A$4:$K$23,7,FALSE)^(C161-1),0)</f>
        <v/>
      </c>
      <c r="G161" s="17">
        <f>SUMIFS($F$4:F161,$B$4:B161,B161)</f>
        <v/>
      </c>
      <c r="H161" s="19">
        <f>IFERROR(E161/F161,0)</f>
        <v/>
      </c>
      <c r="I161" s="20">
        <f>VLOOKUP(B161,Upgrade_Params!$A$4:$K$23,9,FALSE)</f>
        <v/>
      </c>
      <c r="J161" s="20">
        <f>VLOOKUP(B161,Upgrade_Params!$A$4:$K$23,10,FALSE)</f>
        <v/>
      </c>
      <c r="K161" s="26">
        <f>IF(D161&lt;=6,"Starter",IF(D161&lt;=15,"Midgame",IF(D161&lt;=28,"Late Midgame","Endgame")))</f>
        <v/>
      </c>
      <c r="L161" s="18">
        <f>IFERROR(F161/E161*1000,0)</f>
        <v/>
      </c>
    </row>
    <row r="162">
      <c r="A162" s="25">
        <f>VLOOKUP(B162,Upgrade_Params!$A$4:$K$23,2,FALSE)</f>
        <v/>
      </c>
      <c r="B162" s="20" t="inlineStr">
        <is>
          <t>AI Optimizer</t>
        </is>
      </c>
      <c r="C162" s="25" t="n">
        <v>9</v>
      </c>
      <c r="D162" s="25">
        <f>VLOOKUP(B162,Upgrade_Params!$A$4:$K$23,3,FALSE)</f>
        <v/>
      </c>
      <c r="E162" s="17">
        <f>ROUND(VLOOKUP(B162,Upgrade_Params!$A$4:$K$23,4,FALSE)*VLOOKUP(B162,Upgrade_Params!$A$4:$K$23,5,FALSE)^(C162-1),0)</f>
        <v/>
      </c>
      <c r="F162" s="17">
        <f>ROUND(VLOOKUP(B162,Upgrade_Params!$A$4:$K$23,6,FALSE)*VLOOKUP(B162,Upgrade_Params!$A$4:$K$23,7,FALSE)^(C162-1),0)</f>
        <v/>
      </c>
      <c r="G162" s="17">
        <f>SUMIFS($F$4:F162,$B$4:B162,B162)</f>
        <v/>
      </c>
      <c r="H162" s="19">
        <f>IFERROR(E162/F162,0)</f>
        <v/>
      </c>
      <c r="I162" s="20">
        <f>VLOOKUP(B162,Upgrade_Params!$A$4:$K$23,9,FALSE)</f>
        <v/>
      </c>
      <c r="J162" s="20">
        <f>VLOOKUP(B162,Upgrade_Params!$A$4:$K$23,10,FALSE)</f>
        <v/>
      </c>
      <c r="K162" s="26">
        <f>IF(D162&lt;=6,"Starter",IF(D162&lt;=15,"Midgame",IF(D162&lt;=28,"Late Midgame","Endgame")))</f>
        <v/>
      </c>
      <c r="L162" s="18">
        <f>IFERROR(F162/E162*1000,0)</f>
        <v/>
      </c>
    </row>
    <row r="163">
      <c r="A163" s="25">
        <f>VLOOKUP(B163,Upgrade_Params!$A$4:$K$23,2,FALSE)</f>
        <v/>
      </c>
      <c r="B163" s="20" t="inlineStr">
        <is>
          <t>AI Optimizer</t>
        </is>
      </c>
      <c r="C163" s="25" t="n">
        <v>10</v>
      </c>
      <c r="D163" s="25">
        <f>VLOOKUP(B163,Upgrade_Params!$A$4:$K$23,3,FALSE)</f>
        <v/>
      </c>
      <c r="E163" s="17">
        <f>ROUND(VLOOKUP(B163,Upgrade_Params!$A$4:$K$23,4,FALSE)*VLOOKUP(B163,Upgrade_Params!$A$4:$K$23,5,FALSE)^(C163-1),0)</f>
        <v/>
      </c>
      <c r="F163" s="17">
        <f>ROUND(VLOOKUP(B163,Upgrade_Params!$A$4:$K$23,6,FALSE)*VLOOKUP(B163,Upgrade_Params!$A$4:$K$23,7,FALSE)^(C163-1),0)</f>
        <v/>
      </c>
      <c r="G163" s="17">
        <f>SUMIFS($F$4:F163,$B$4:B163,B163)</f>
        <v/>
      </c>
      <c r="H163" s="19">
        <f>IFERROR(E163/F163,0)</f>
        <v/>
      </c>
      <c r="I163" s="20">
        <f>VLOOKUP(B163,Upgrade_Params!$A$4:$K$23,9,FALSE)</f>
        <v/>
      </c>
      <c r="J163" s="20">
        <f>VLOOKUP(B163,Upgrade_Params!$A$4:$K$23,10,FALSE)</f>
        <v/>
      </c>
      <c r="K163" s="26">
        <f>IF(D163&lt;=6,"Starter",IF(D163&lt;=15,"Midgame",IF(D163&lt;=28,"Late Midgame","Endgame")))</f>
        <v/>
      </c>
      <c r="L163" s="18">
        <f>IFERROR(F163/E163*1000,0)</f>
        <v/>
      </c>
    </row>
    <row r="164">
      <c r="A164" s="25">
        <f>VLOOKUP(B164,Upgrade_Params!$A$4:$K$23,2,FALSE)</f>
        <v/>
      </c>
      <c r="B164" s="20" t="inlineStr">
        <is>
          <t>AI Optimizer</t>
        </is>
      </c>
      <c r="C164" s="25" t="n">
        <v>11</v>
      </c>
      <c r="D164" s="25">
        <f>VLOOKUP(B164,Upgrade_Params!$A$4:$K$23,3,FALSE)</f>
        <v/>
      </c>
      <c r="E164" s="17">
        <f>ROUND(VLOOKUP(B164,Upgrade_Params!$A$4:$K$23,4,FALSE)*VLOOKUP(B164,Upgrade_Params!$A$4:$K$23,5,FALSE)^(C164-1),0)</f>
        <v/>
      </c>
      <c r="F164" s="17">
        <f>ROUND(VLOOKUP(B164,Upgrade_Params!$A$4:$K$23,6,FALSE)*VLOOKUP(B164,Upgrade_Params!$A$4:$K$23,7,FALSE)^(C164-1),0)</f>
        <v/>
      </c>
      <c r="G164" s="17">
        <f>SUMIFS($F$4:F164,$B$4:B164,B164)</f>
        <v/>
      </c>
      <c r="H164" s="19">
        <f>IFERROR(E164/F164,0)</f>
        <v/>
      </c>
      <c r="I164" s="20">
        <f>VLOOKUP(B164,Upgrade_Params!$A$4:$K$23,9,FALSE)</f>
        <v/>
      </c>
      <c r="J164" s="20">
        <f>VLOOKUP(B164,Upgrade_Params!$A$4:$K$23,10,FALSE)</f>
        <v/>
      </c>
      <c r="K164" s="26">
        <f>IF(D164&lt;=6,"Starter",IF(D164&lt;=15,"Midgame",IF(D164&lt;=28,"Late Midgame","Endgame")))</f>
        <v/>
      </c>
      <c r="L164" s="18">
        <f>IFERROR(F164/E164*1000,0)</f>
        <v/>
      </c>
    </row>
    <row r="165">
      <c r="A165" s="25">
        <f>VLOOKUP(B165,Upgrade_Params!$A$4:$K$23,2,FALSE)</f>
        <v/>
      </c>
      <c r="B165" s="20" t="inlineStr">
        <is>
          <t>AI Optimizer</t>
        </is>
      </c>
      <c r="C165" s="25" t="n">
        <v>12</v>
      </c>
      <c r="D165" s="25">
        <f>VLOOKUP(B165,Upgrade_Params!$A$4:$K$23,3,FALSE)</f>
        <v/>
      </c>
      <c r="E165" s="17">
        <f>ROUND(VLOOKUP(B165,Upgrade_Params!$A$4:$K$23,4,FALSE)*VLOOKUP(B165,Upgrade_Params!$A$4:$K$23,5,FALSE)^(C165-1),0)</f>
        <v/>
      </c>
      <c r="F165" s="17">
        <f>ROUND(VLOOKUP(B165,Upgrade_Params!$A$4:$K$23,6,FALSE)*VLOOKUP(B165,Upgrade_Params!$A$4:$K$23,7,FALSE)^(C165-1),0)</f>
        <v/>
      </c>
      <c r="G165" s="17">
        <f>SUMIFS($F$4:F165,$B$4:B165,B165)</f>
        <v/>
      </c>
      <c r="H165" s="19">
        <f>IFERROR(E165/F165,0)</f>
        <v/>
      </c>
      <c r="I165" s="20">
        <f>VLOOKUP(B165,Upgrade_Params!$A$4:$K$23,9,FALSE)</f>
        <v/>
      </c>
      <c r="J165" s="20">
        <f>VLOOKUP(B165,Upgrade_Params!$A$4:$K$23,10,FALSE)</f>
        <v/>
      </c>
      <c r="K165" s="26">
        <f>IF(D165&lt;=6,"Starter",IF(D165&lt;=15,"Midgame",IF(D165&lt;=28,"Late Midgame","Endgame")))</f>
        <v/>
      </c>
      <c r="L165" s="18">
        <f>IFERROR(F165/E165*1000,0)</f>
        <v/>
      </c>
    </row>
    <row r="166">
      <c r="A166" s="25">
        <f>VLOOKUP(B166,Upgrade_Params!$A$4:$K$23,2,FALSE)</f>
        <v/>
      </c>
      <c r="B166" s="20" t="inlineStr">
        <is>
          <t>AI Optimizer</t>
        </is>
      </c>
      <c r="C166" s="25" t="n">
        <v>13</v>
      </c>
      <c r="D166" s="25">
        <f>VLOOKUP(B166,Upgrade_Params!$A$4:$K$23,3,FALSE)</f>
        <v/>
      </c>
      <c r="E166" s="17">
        <f>ROUND(VLOOKUP(B166,Upgrade_Params!$A$4:$K$23,4,FALSE)*VLOOKUP(B166,Upgrade_Params!$A$4:$K$23,5,FALSE)^(C166-1),0)</f>
        <v/>
      </c>
      <c r="F166" s="17">
        <f>ROUND(VLOOKUP(B166,Upgrade_Params!$A$4:$K$23,6,FALSE)*VLOOKUP(B166,Upgrade_Params!$A$4:$K$23,7,FALSE)^(C166-1),0)</f>
        <v/>
      </c>
      <c r="G166" s="17">
        <f>SUMIFS($F$4:F166,$B$4:B166,B166)</f>
        <v/>
      </c>
      <c r="H166" s="19">
        <f>IFERROR(E166/F166,0)</f>
        <v/>
      </c>
      <c r="I166" s="20">
        <f>VLOOKUP(B166,Upgrade_Params!$A$4:$K$23,9,FALSE)</f>
        <v/>
      </c>
      <c r="J166" s="20">
        <f>VLOOKUP(B166,Upgrade_Params!$A$4:$K$23,10,FALSE)</f>
        <v/>
      </c>
      <c r="K166" s="26">
        <f>IF(D166&lt;=6,"Starter",IF(D166&lt;=15,"Midgame",IF(D166&lt;=28,"Late Midgame","Endgame")))</f>
        <v/>
      </c>
      <c r="L166" s="18">
        <f>IFERROR(F166/E166*1000,0)</f>
        <v/>
      </c>
    </row>
    <row r="167">
      <c r="A167" s="25">
        <f>VLOOKUP(B167,Upgrade_Params!$A$4:$K$23,2,FALSE)</f>
        <v/>
      </c>
      <c r="B167" s="20" t="inlineStr">
        <is>
          <t>AI Optimizer</t>
        </is>
      </c>
      <c r="C167" s="25" t="n">
        <v>14</v>
      </c>
      <c r="D167" s="25">
        <f>VLOOKUP(B167,Upgrade_Params!$A$4:$K$23,3,FALSE)</f>
        <v/>
      </c>
      <c r="E167" s="17">
        <f>ROUND(VLOOKUP(B167,Upgrade_Params!$A$4:$K$23,4,FALSE)*VLOOKUP(B167,Upgrade_Params!$A$4:$K$23,5,FALSE)^(C167-1),0)</f>
        <v/>
      </c>
      <c r="F167" s="17">
        <f>ROUND(VLOOKUP(B167,Upgrade_Params!$A$4:$K$23,6,FALSE)*VLOOKUP(B167,Upgrade_Params!$A$4:$K$23,7,FALSE)^(C167-1),0)</f>
        <v/>
      </c>
      <c r="G167" s="17">
        <f>SUMIFS($F$4:F167,$B$4:B167,B167)</f>
        <v/>
      </c>
      <c r="H167" s="19">
        <f>IFERROR(E167/F167,0)</f>
        <v/>
      </c>
      <c r="I167" s="20">
        <f>VLOOKUP(B167,Upgrade_Params!$A$4:$K$23,9,FALSE)</f>
        <v/>
      </c>
      <c r="J167" s="20">
        <f>VLOOKUP(B167,Upgrade_Params!$A$4:$K$23,10,FALSE)</f>
        <v/>
      </c>
      <c r="K167" s="26">
        <f>IF(D167&lt;=6,"Starter",IF(D167&lt;=15,"Midgame",IF(D167&lt;=28,"Late Midgame","Endgame")))</f>
        <v/>
      </c>
      <c r="L167" s="18">
        <f>IFERROR(F167/E167*1000,0)</f>
        <v/>
      </c>
    </row>
    <row r="168">
      <c r="A168" s="25">
        <f>VLOOKUP(B168,Upgrade_Params!$A$4:$K$23,2,FALSE)</f>
        <v/>
      </c>
      <c r="B168" s="20" t="inlineStr">
        <is>
          <t>AI Optimizer</t>
        </is>
      </c>
      <c r="C168" s="25" t="n">
        <v>15</v>
      </c>
      <c r="D168" s="25">
        <f>VLOOKUP(B168,Upgrade_Params!$A$4:$K$23,3,FALSE)</f>
        <v/>
      </c>
      <c r="E168" s="17">
        <f>ROUND(VLOOKUP(B168,Upgrade_Params!$A$4:$K$23,4,FALSE)*VLOOKUP(B168,Upgrade_Params!$A$4:$K$23,5,FALSE)^(C168-1),0)</f>
        <v/>
      </c>
      <c r="F168" s="17">
        <f>ROUND(VLOOKUP(B168,Upgrade_Params!$A$4:$K$23,6,FALSE)*VLOOKUP(B168,Upgrade_Params!$A$4:$K$23,7,FALSE)^(C168-1),0)</f>
        <v/>
      </c>
      <c r="G168" s="17">
        <f>SUMIFS($F$4:F168,$B$4:B168,B168)</f>
        <v/>
      </c>
      <c r="H168" s="19">
        <f>IFERROR(E168/F168,0)</f>
        <v/>
      </c>
      <c r="I168" s="20">
        <f>VLOOKUP(B168,Upgrade_Params!$A$4:$K$23,9,FALSE)</f>
        <v/>
      </c>
      <c r="J168" s="20">
        <f>VLOOKUP(B168,Upgrade_Params!$A$4:$K$23,10,FALSE)</f>
        <v/>
      </c>
      <c r="K168" s="26">
        <f>IF(D168&lt;=6,"Starter",IF(D168&lt;=15,"Midgame",IF(D168&lt;=28,"Late Midgame","Endgame")))</f>
        <v/>
      </c>
      <c r="L168" s="18">
        <f>IFERROR(F168/E168*1000,0)</f>
        <v/>
      </c>
    </row>
    <row r="169">
      <c r="A169" s="25">
        <f>VLOOKUP(B169,Upgrade_Params!$A$4:$K$23,2,FALSE)</f>
        <v/>
      </c>
      <c r="B169" s="20" t="inlineStr">
        <is>
          <t>Fee Engine</t>
        </is>
      </c>
      <c r="C169" s="25" t="n">
        <v>1</v>
      </c>
      <c r="D169" s="25">
        <f>VLOOKUP(B169,Upgrade_Params!$A$4:$K$23,3,FALSE)</f>
        <v/>
      </c>
      <c r="E169" s="17">
        <f>ROUND(VLOOKUP(B169,Upgrade_Params!$A$4:$K$23,4,FALSE)*VLOOKUP(B169,Upgrade_Params!$A$4:$K$23,5,FALSE)^(C169-1),0)</f>
        <v/>
      </c>
      <c r="F169" s="17">
        <f>ROUND(VLOOKUP(B169,Upgrade_Params!$A$4:$K$23,6,FALSE)*VLOOKUP(B169,Upgrade_Params!$A$4:$K$23,7,FALSE)^(C169-1),0)</f>
        <v/>
      </c>
      <c r="G169" s="17">
        <f>SUMIFS($F$4:F169,$B$4:B169,B169)</f>
        <v/>
      </c>
      <c r="H169" s="19">
        <f>IFERROR(E169/F169,0)</f>
        <v/>
      </c>
      <c r="I169" s="20">
        <f>VLOOKUP(B169,Upgrade_Params!$A$4:$K$23,9,FALSE)</f>
        <v/>
      </c>
      <c r="J169" s="20">
        <f>VLOOKUP(B169,Upgrade_Params!$A$4:$K$23,10,FALSE)</f>
        <v/>
      </c>
      <c r="K169" s="26">
        <f>IF(D169&lt;=6,"Starter",IF(D169&lt;=15,"Midgame",IF(D169&lt;=28,"Late Midgame","Endgame")))</f>
        <v/>
      </c>
      <c r="L169" s="18">
        <f>IFERROR(F169/E169*1000,0)</f>
        <v/>
      </c>
    </row>
    <row r="170">
      <c r="A170" s="25">
        <f>VLOOKUP(B170,Upgrade_Params!$A$4:$K$23,2,FALSE)</f>
        <v/>
      </c>
      <c r="B170" s="20" t="inlineStr">
        <is>
          <t>Fee Engine</t>
        </is>
      </c>
      <c r="C170" s="25" t="n">
        <v>2</v>
      </c>
      <c r="D170" s="25">
        <f>VLOOKUP(B170,Upgrade_Params!$A$4:$K$23,3,FALSE)</f>
        <v/>
      </c>
      <c r="E170" s="17">
        <f>ROUND(VLOOKUP(B170,Upgrade_Params!$A$4:$K$23,4,FALSE)*VLOOKUP(B170,Upgrade_Params!$A$4:$K$23,5,FALSE)^(C170-1),0)</f>
        <v/>
      </c>
      <c r="F170" s="17">
        <f>ROUND(VLOOKUP(B170,Upgrade_Params!$A$4:$K$23,6,FALSE)*VLOOKUP(B170,Upgrade_Params!$A$4:$K$23,7,FALSE)^(C170-1),0)</f>
        <v/>
      </c>
      <c r="G170" s="17">
        <f>SUMIFS($F$4:F170,$B$4:B170,B170)</f>
        <v/>
      </c>
      <c r="H170" s="19">
        <f>IFERROR(E170/F170,0)</f>
        <v/>
      </c>
      <c r="I170" s="20">
        <f>VLOOKUP(B170,Upgrade_Params!$A$4:$K$23,9,FALSE)</f>
        <v/>
      </c>
      <c r="J170" s="20">
        <f>VLOOKUP(B170,Upgrade_Params!$A$4:$K$23,10,FALSE)</f>
        <v/>
      </c>
      <c r="K170" s="26">
        <f>IF(D170&lt;=6,"Starter",IF(D170&lt;=15,"Midgame",IF(D170&lt;=28,"Late Midgame","Endgame")))</f>
        <v/>
      </c>
      <c r="L170" s="18">
        <f>IFERROR(F170/E170*1000,0)</f>
        <v/>
      </c>
    </row>
    <row r="171">
      <c r="A171" s="25">
        <f>VLOOKUP(B171,Upgrade_Params!$A$4:$K$23,2,FALSE)</f>
        <v/>
      </c>
      <c r="B171" s="20" t="inlineStr">
        <is>
          <t>Fee Engine</t>
        </is>
      </c>
      <c r="C171" s="25" t="n">
        <v>3</v>
      </c>
      <c r="D171" s="25">
        <f>VLOOKUP(B171,Upgrade_Params!$A$4:$K$23,3,FALSE)</f>
        <v/>
      </c>
      <c r="E171" s="17">
        <f>ROUND(VLOOKUP(B171,Upgrade_Params!$A$4:$K$23,4,FALSE)*VLOOKUP(B171,Upgrade_Params!$A$4:$K$23,5,FALSE)^(C171-1),0)</f>
        <v/>
      </c>
      <c r="F171" s="17">
        <f>ROUND(VLOOKUP(B171,Upgrade_Params!$A$4:$K$23,6,FALSE)*VLOOKUP(B171,Upgrade_Params!$A$4:$K$23,7,FALSE)^(C171-1),0)</f>
        <v/>
      </c>
      <c r="G171" s="17">
        <f>SUMIFS($F$4:F171,$B$4:B171,B171)</f>
        <v/>
      </c>
      <c r="H171" s="19">
        <f>IFERROR(E171/F171,0)</f>
        <v/>
      </c>
      <c r="I171" s="20">
        <f>VLOOKUP(B171,Upgrade_Params!$A$4:$K$23,9,FALSE)</f>
        <v/>
      </c>
      <c r="J171" s="20">
        <f>VLOOKUP(B171,Upgrade_Params!$A$4:$K$23,10,FALSE)</f>
        <v/>
      </c>
      <c r="K171" s="26">
        <f>IF(D171&lt;=6,"Starter",IF(D171&lt;=15,"Midgame",IF(D171&lt;=28,"Late Midgame","Endgame")))</f>
        <v/>
      </c>
      <c r="L171" s="18">
        <f>IFERROR(F171/E171*1000,0)</f>
        <v/>
      </c>
    </row>
    <row r="172">
      <c r="A172" s="25">
        <f>VLOOKUP(B172,Upgrade_Params!$A$4:$K$23,2,FALSE)</f>
        <v/>
      </c>
      <c r="B172" s="20" t="inlineStr">
        <is>
          <t>Fee Engine</t>
        </is>
      </c>
      <c r="C172" s="25" t="n">
        <v>4</v>
      </c>
      <c r="D172" s="25">
        <f>VLOOKUP(B172,Upgrade_Params!$A$4:$K$23,3,FALSE)</f>
        <v/>
      </c>
      <c r="E172" s="17">
        <f>ROUND(VLOOKUP(B172,Upgrade_Params!$A$4:$K$23,4,FALSE)*VLOOKUP(B172,Upgrade_Params!$A$4:$K$23,5,FALSE)^(C172-1),0)</f>
        <v/>
      </c>
      <c r="F172" s="17">
        <f>ROUND(VLOOKUP(B172,Upgrade_Params!$A$4:$K$23,6,FALSE)*VLOOKUP(B172,Upgrade_Params!$A$4:$K$23,7,FALSE)^(C172-1),0)</f>
        <v/>
      </c>
      <c r="G172" s="17">
        <f>SUMIFS($F$4:F172,$B$4:B172,B172)</f>
        <v/>
      </c>
      <c r="H172" s="19">
        <f>IFERROR(E172/F172,0)</f>
        <v/>
      </c>
      <c r="I172" s="20">
        <f>VLOOKUP(B172,Upgrade_Params!$A$4:$K$23,9,FALSE)</f>
        <v/>
      </c>
      <c r="J172" s="20">
        <f>VLOOKUP(B172,Upgrade_Params!$A$4:$K$23,10,FALSE)</f>
        <v/>
      </c>
      <c r="K172" s="26">
        <f>IF(D172&lt;=6,"Starter",IF(D172&lt;=15,"Midgame",IF(D172&lt;=28,"Late Midgame","Endgame")))</f>
        <v/>
      </c>
      <c r="L172" s="18">
        <f>IFERROR(F172/E172*1000,0)</f>
        <v/>
      </c>
    </row>
    <row r="173">
      <c r="A173" s="25">
        <f>VLOOKUP(B173,Upgrade_Params!$A$4:$K$23,2,FALSE)</f>
        <v/>
      </c>
      <c r="B173" s="20" t="inlineStr">
        <is>
          <t>Fee Engine</t>
        </is>
      </c>
      <c r="C173" s="25" t="n">
        <v>5</v>
      </c>
      <c r="D173" s="25">
        <f>VLOOKUP(B173,Upgrade_Params!$A$4:$K$23,3,FALSE)</f>
        <v/>
      </c>
      <c r="E173" s="17">
        <f>ROUND(VLOOKUP(B173,Upgrade_Params!$A$4:$K$23,4,FALSE)*VLOOKUP(B173,Upgrade_Params!$A$4:$K$23,5,FALSE)^(C173-1),0)</f>
        <v/>
      </c>
      <c r="F173" s="17">
        <f>ROUND(VLOOKUP(B173,Upgrade_Params!$A$4:$K$23,6,FALSE)*VLOOKUP(B173,Upgrade_Params!$A$4:$K$23,7,FALSE)^(C173-1),0)</f>
        <v/>
      </c>
      <c r="G173" s="17">
        <f>SUMIFS($F$4:F173,$B$4:B173,B173)</f>
        <v/>
      </c>
      <c r="H173" s="19">
        <f>IFERROR(E173/F173,0)</f>
        <v/>
      </c>
      <c r="I173" s="20">
        <f>VLOOKUP(B173,Upgrade_Params!$A$4:$K$23,9,FALSE)</f>
        <v/>
      </c>
      <c r="J173" s="20">
        <f>VLOOKUP(B173,Upgrade_Params!$A$4:$K$23,10,FALSE)</f>
        <v/>
      </c>
      <c r="K173" s="26">
        <f>IF(D173&lt;=6,"Starter",IF(D173&lt;=15,"Midgame",IF(D173&lt;=28,"Late Midgame","Endgame")))</f>
        <v/>
      </c>
      <c r="L173" s="18">
        <f>IFERROR(F173/E173*1000,0)</f>
        <v/>
      </c>
    </row>
    <row r="174">
      <c r="A174" s="25">
        <f>VLOOKUP(B174,Upgrade_Params!$A$4:$K$23,2,FALSE)</f>
        <v/>
      </c>
      <c r="B174" s="20" t="inlineStr">
        <is>
          <t>Fee Engine</t>
        </is>
      </c>
      <c r="C174" s="25" t="n">
        <v>6</v>
      </c>
      <c r="D174" s="25">
        <f>VLOOKUP(B174,Upgrade_Params!$A$4:$K$23,3,FALSE)</f>
        <v/>
      </c>
      <c r="E174" s="17">
        <f>ROUND(VLOOKUP(B174,Upgrade_Params!$A$4:$K$23,4,FALSE)*VLOOKUP(B174,Upgrade_Params!$A$4:$K$23,5,FALSE)^(C174-1),0)</f>
        <v/>
      </c>
      <c r="F174" s="17">
        <f>ROUND(VLOOKUP(B174,Upgrade_Params!$A$4:$K$23,6,FALSE)*VLOOKUP(B174,Upgrade_Params!$A$4:$K$23,7,FALSE)^(C174-1),0)</f>
        <v/>
      </c>
      <c r="G174" s="17">
        <f>SUMIFS($F$4:F174,$B$4:B174,B174)</f>
        <v/>
      </c>
      <c r="H174" s="19">
        <f>IFERROR(E174/F174,0)</f>
        <v/>
      </c>
      <c r="I174" s="20">
        <f>VLOOKUP(B174,Upgrade_Params!$A$4:$K$23,9,FALSE)</f>
        <v/>
      </c>
      <c r="J174" s="20">
        <f>VLOOKUP(B174,Upgrade_Params!$A$4:$K$23,10,FALSE)</f>
        <v/>
      </c>
      <c r="K174" s="26">
        <f>IF(D174&lt;=6,"Starter",IF(D174&lt;=15,"Midgame",IF(D174&lt;=28,"Late Midgame","Endgame")))</f>
        <v/>
      </c>
      <c r="L174" s="18">
        <f>IFERROR(F174/E174*1000,0)</f>
        <v/>
      </c>
    </row>
    <row r="175">
      <c r="A175" s="25">
        <f>VLOOKUP(B175,Upgrade_Params!$A$4:$K$23,2,FALSE)</f>
        <v/>
      </c>
      <c r="B175" s="20" t="inlineStr">
        <is>
          <t>Fee Engine</t>
        </is>
      </c>
      <c r="C175" s="25" t="n">
        <v>7</v>
      </c>
      <c r="D175" s="25">
        <f>VLOOKUP(B175,Upgrade_Params!$A$4:$K$23,3,FALSE)</f>
        <v/>
      </c>
      <c r="E175" s="17">
        <f>ROUND(VLOOKUP(B175,Upgrade_Params!$A$4:$K$23,4,FALSE)*VLOOKUP(B175,Upgrade_Params!$A$4:$K$23,5,FALSE)^(C175-1),0)</f>
        <v/>
      </c>
      <c r="F175" s="17">
        <f>ROUND(VLOOKUP(B175,Upgrade_Params!$A$4:$K$23,6,FALSE)*VLOOKUP(B175,Upgrade_Params!$A$4:$K$23,7,FALSE)^(C175-1),0)</f>
        <v/>
      </c>
      <c r="G175" s="17">
        <f>SUMIFS($F$4:F175,$B$4:B175,B175)</f>
        <v/>
      </c>
      <c r="H175" s="19">
        <f>IFERROR(E175/F175,0)</f>
        <v/>
      </c>
      <c r="I175" s="20">
        <f>VLOOKUP(B175,Upgrade_Params!$A$4:$K$23,9,FALSE)</f>
        <v/>
      </c>
      <c r="J175" s="20">
        <f>VLOOKUP(B175,Upgrade_Params!$A$4:$K$23,10,FALSE)</f>
        <v/>
      </c>
      <c r="K175" s="26">
        <f>IF(D175&lt;=6,"Starter",IF(D175&lt;=15,"Midgame",IF(D175&lt;=28,"Late Midgame","Endgame")))</f>
        <v/>
      </c>
      <c r="L175" s="18">
        <f>IFERROR(F175/E175*1000,0)</f>
        <v/>
      </c>
    </row>
    <row r="176">
      <c r="A176" s="25">
        <f>VLOOKUP(B176,Upgrade_Params!$A$4:$K$23,2,FALSE)</f>
        <v/>
      </c>
      <c r="B176" s="20" t="inlineStr">
        <is>
          <t>Fee Engine</t>
        </is>
      </c>
      <c r="C176" s="25" t="n">
        <v>8</v>
      </c>
      <c r="D176" s="25">
        <f>VLOOKUP(B176,Upgrade_Params!$A$4:$K$23,3,FALSE)</f>
        <v/>
      </c>
      <c r="E176" s="17">
        <f>ROUND(VLOOKUP(B176,Upgrade_Params!$A$4:$K$23,4,FALSE)*VLOOKUP(B176,Upgrade_Params!$A$4:$K$23,5,FALSE)^(C176-1),0)</f>
        <v/>
      </c>
      <c r="F176" s="17">
        <f>ROUND(VLOOKUP(B176,Upgrade_Params!$A$4:$K$23,6,FALSE)*VLOOKUP(B176,Upgrade_Params!$A$4:$K$23,7,FALSE)^(C176-1),0)</f>
        <v/>
      </c>
      <c r="G176" s="17">
        <f>SUMIFS($F$4:F176,$B$4:B176,B176)</f>
        <v/>
      </c>
      <c r="H176" s="19">
        <f>IFERROR(E176/F176,0)</f>
        <v/>
      </c>
      <c r="I176" s="20">
        <f>VLOOKUP(B176,Upgrade_Params!$A$4:$K$23,9,FALSE)</f>
        <v/>
      </c>
      <c r="J176" s="20">
        <f>VLOOKUP(B176,Upgrade_Params!$A$4:$K$23,10,FALSE)</f>
        <v/>
      </c>
      <c r="K176" s="26">
        <f>IF(D176&lt;=6,"Starter",IF(D176&lt;=15,"Midgame",IF(D176&lt;=28,"Late Midgame","Endgame")))</f>
        <v/>
      </c>
      <c r="L176" s="18">
        <f>IFERROR(F176/E176*1000,0)</f>
        <v/>
      </c>
    </row>
    <row r="177">
      <c r="A177" s="25">
        <f>VLOOKUP(B177,Upgrade_Params!$A$4:$K$23,2,FALSE)</f>
        <v/>
      </c>
      <c r="B177" s="20" t="inlineStr">
        <is>
          <t>Fee Engine</t>
        </is>
      </c>
      <c r="C177" s="25" t="n">
        <v>9</v>
      </c>
      <c r="D177" s="25">
        <f>VLOOKUP(B177,Upgrade_Params!$A$4:$K$23,3,FALSE)</f>
        <v/>
      </c>
      <c r="E177" s="17">
        <f>ROUND(VLOOKUP(B177,Upgrade_Params!$A$4:$K$23,4,FALSE)*VLOOKUP(B177,Upgrade_Params!$A$4:$K$23,5,FALSE)^(C177-1),0)</f>
        <v/>
      </c>
      <c r="F177" s="17">
        <f>ROUND(VLOOKUP(B177,Upgrade_Params!$A$4:$K$23,6,FALSE)*VLOOKUP(B177,Upgrade_Params!$A$4:$K$23,7,FALSE)^(C177-1),0)</f>
        <v/>
      </c>
      <c r="G177" s="17">
        <f>SUMIFS($F$4:F177,$B$4:B177,B177)</f>
        <v/>
      </c>
      <c r="H177" s="19">
        <f>IFERROR(E177/F177,0)</f>
        <v/>
      </c>
      <c r="I177" s="20">
        <f>VLOOKUP(B177,Upgrade_Params!$A$4:$K$23,9,FALSE)</f>
        <v/>
      </c>
      <c r="J177" s="20">
        <f>VLOOKUP(B177,Upgrade_Params!$A$4:$K$23,10,FALSE)</f>
        <v/>
      </c>
      <c r="K177" s="26">
        <f>IF(D177&lt;=6,"Starter",IF(D177&lt;=15,"Midgame",IF(D177&lt;=28,"Late Midgame","Endgame")))</f>
        <v/>
      </c>
      <c r="L177" s="18">
        <f>IFERROR(F177/E177*1000,0)</f>
        <v/>
      </c>
    </row>
    <row r="178">
      <c r="A178" s="25">
        <f>VLOOKUP(B178,Upgrade_Params!$A$4:$K$23,2,FALSE)</f>
        <v/>
      </c>
      <c r="B178" s="20" t="inlineStr">
        <is>
          <t>Fee Engine</t>
        </is>
      </c>
      <c r="C178" s="25" t="n">
        <v>10</v>
      </c>
      <c r="D178" s="25">
        <f>VLOOKUP(B178,Upgrade_Params!$A$4:$K$23,3,FALSE)</f>
        <v/>
      </c>
      <c r="E178" s="17">
        <f>ROUND(VLOOKUP(B178,Upgrade_Params!$A$4:$K$23,4,FALSE)*VLOOKUP(B178,Upgrade_Params!$A$4:$K$23,5,FALSE)^(C178-1),0)</f>
        <v/>
      </c>
      <c r="F178" s="17">
        <f>ROUND(VLOOKUP(B178,Upgrade_Params!$A$4:$K$23,6,FALSE)*VLOOKUP(B178,Upgrade_Params!$A$4:$K$23,7,FALSE)^(C178-1),0)</f>
        <v/>
      </c>
      <c r="G178" s="17">
        <f>SUMIFS($F$4:F178,$B$4:B178,B178)</f>
        <v/>
      </c>
      <c r="H178" s="19">
        <f>IFERROR(E178/F178,0)</f>
        <v/>
      </c>
      <c r="I178" s="20">
        <f>VLOOKUP(B178,Upgrade_Params!$A$4:$K$23,9,FALSE)</f>
        <v/>
      </c>
      <c r="J178" s="20">
        <f>VLOOKUP(B178,Upgrade_Params!$A$4:$K$23,10,FALSE)</f>
        <v/>
      </c>
      <c r="K178" s="26">
        <f>IF(D178&lt;=6,"Starter",IF(D178&lt;=15,"Midgame",IF(D178&lt;=28,"Late Midgame","Endgame")))</f>
        <v/>
      </c>
      <c r="L178" s="18">
        <f>IFERROR(F178/E178*1000,0)</f>
        <v/>
      </c>
    </row>
    <row r="179">
      <c r="A179" s="25">
        <f>VLOOKUP(B179,Upgrade_Params!$A$4:$K$23,2,FALSE)</f>
        <v/>
      </c>
      <c r="B179" s="20" t="inlineStr">
        <is>
          <t>Fee Engine</t>
        </is>
      </c>
      <c r="C179" s="25" t="n">
        <v>11</v>
      </c>
      <c r="D179" s="25">
        <f>VLOOKUP(B179,Upgrade_Params!$A$4:$K$23,3,FALSE)</f>
        <v/>
      </c>
      <c r="E179" s="17">
        <f>ROUND(VLOOKUP(B179,Upgrade_Params!$A$4:$K$23,4,FALSE)*VLOOKUP(B179,Upgrade_Params!$A$4:$K$23,5,FALSE)^(C179-1),0)</f>
        <v/>
      </c>
      <c r="F179" s="17">
        <f>ROUND(VLOOKUP(B179,Upgrade_Params!$A$4:$K$23,6,FALSE)*VLOOKUP(B179,Upgrade_Params!$A$4:$K$23,7,FALSE)^(C179-1),0)</f>
        <v/>
      </c>
      <c r="G179" s="17">
        <f>SUMIFS($F$4:F179,$B$4:B179,B179)</f>
        <v/>
      </c>
      <c r="H179" s="19">
        <f>IFERROR(E179/F179,0)</f>
        <v/>
      </c>
      <c r="I179" s="20">
        <f>VLOOKUP(B179,Upgrade_Params!$A$4:$K$23,9,FALSE)</f>
        <v/>
      </c>
      <c r="J179" s="20">
        <f>VLOOKUP(B179,Upgrade_Params!$A$4:$K$23,10,FALSE)</f>
        <v/>
      </c>
      <c r="K179" s="26">
        <f>IF(D179&lt;=6,"Starter",IF(D179&lt;=15,"Midgame",IF(D179&lt;=28,"Late Midgame","Endgame")))</f>
        <v/>
      </c>
      <c r="L179" s="18">
        <f>IFERROR(F179/E179*1000,0)</f>
        <v/>
      </c>
    </row>
    <row r="180">
      <c r="A180" s="25">
        <f>VLOOKUP(B180,Upgrade_Params!$A$4:$K$23,2,FALSE)</f>
        <v/>
      </c>
      <c r="B180" s="20" t="inlineStr">
        <is>
          <t>Fee Engine</t>
        </is>
      </c>
      <c r="C180" s="25" t="n">
        <v>12</v>
      </c>
      <c r="D180" s="25">
        <f>VLOOKUP(B180,Upgrade_Params!$A$4:$K$23,3,FALSE)</f>
        <v/>
      </c>
      <c r="E180" s="17">
        <f>ROUND(VLOOKUP(B180,Upgrade_Params!$A$4:$K$23,4,FALSE)*VLOOKUP(B180,Upgrade_Params!$A$4:$K$23,5,FALSE)^(C180-1),0)</f>
        <v/>
      </c>
      <c r="F180" s="17">
        <f>ROUND(VLOOKUP(B180,Upgrade_Params!$A$4:$K$23,6,FALSE)*VLOOKUP(B180,Upgrade_Params!$A$4:$K$23,7,FALSE)^(C180-1),0)</f>
        <v/>
      </c>
      <c r="G180" s="17">
        <f>SUMIFS($F$4:F180,$B$4:B180,B180)</f>
        <v/>
      </c>
      <c r="H180" s="19">
        <f>IFERROR(E180/F180,0)</f>
        <v/>
      </c>
      <c r="I180" s="20">
        <f>VLOOKUP(B180,Upgrade_Params!$A$4:$K$23,9,FALSE)</f>
        <v/>
      </c>
      <c r="J180" s="20">
        <f>VLOOKUP(B180,Upgrade_Params!$A$4:$K$23,10,FALSE)</f>
        <v/>
      </c>
      <c r="K180" s="26">
        <f>IF(D180&lt;=6,"Starter",IF(D180&lt;=15,"Midgame",IF(D180&lt;=28,"Late Midgame","Endgame")))</f>
        <v/>
      </c>
      <c r="L180" s="18">
        <f>IFERROR(F180/E180*1000,0)</f>
        <v/>
      </c>
    </row>
    <row r="181">
      <c r="A181" s="25">
        <f>VLOOKUP(B181,Upgrade_Params!$A$4:$K$23,2,FALSE)</f>
        <v/>
      </c>
      <c r="B181" s="20" t="inlineStr">
        <is>
          <t>Fee Engine</t>
        </is>
      </c>
      <c r="C181" s="25" t="n">
        <v>13</v>
      </c>
      <c r="D181" s="25">
        <f>VLOOKUP(B181,Upgrade_Params!$A$4:$K$23,3,FALSE)</f>
        <v/>
      </c>
      <c r="E181" s="17">
        <f>ROUND(VLOOKUP(B181,Upgrade_Params!$A$4:$K$23,4,FALSE)*VLOOKUP(B181,Upgrade_Params!$A$4:$K$23,5,FALSE)^(C181-1),0)</f>
        <v/>
      </c>
      <c r="F181" s="17">
        <f>ROUND(VLOOKUP(B181,Upgrade_Params!$A$4:$K$23,6,FALSE)*VLOOKUP(B181,Upgrade_Params!$A$4:$K$23,7,FALSE)^(C181-1),0)</f>
        <v/>
      </c>
      <c r="G181" s="17">
        <f>SUMIFS($F$4:F181,$B$4:B181,B181)</f>
        <v/>
      </c>
      <c r="H181" s="19">
        <f>IFERROR(E181/F181,0)</f>
        <v/>
      </c>
      <c r="I181" s="20">
        <f>VLOOKUP(B181,Upgrade_Params!$A$4:$K$23,9,FALSE)</f>
        <v/>
      </c>
      <c r="J181" s="20">
        <f>VLOOKUP(B181,Upgrade_Params!$A$4:$K$23,10,FALSE)</f>
        <v/>
      </c>
      <c r="K181" s="26">
        <f>IF(D181&lt;=6,"Starter",IF(D181&lt;=15,"Midgame",IF(D181&lt;=28,"Late Midgame","Endgame")))</f>
        <v/>
      </c>
      <c r="L181" s="18">
        <f>IFERROR(F181/E181*1000,0)</f>
        <v/>
      </c>
    </row>
    <row r="182">
      <c r="A182" s="25">
        <f>VLOOKUP(B182,Upgrade_Params!$A$4:$K$23,2,FALSE)</f>
        <v/>
      </c>
      <c r="B182" s="20" t="inlineStr">
        <is>
          <t>Fee Engine</t>
        </is>
      </c>
      <c r="C182" s="25" t="n">
        <v>14</v>
      </c>
      <c r="D182" s="25">
        <f>VLOOKUP(B182,Upgrade_Params!$A$4:$K$23,3,FALSE)</f>
        <v/>
      </c>
      <c r="E182" s="17">
        <f>ROUND(VLOOKUP(B182,Upgrade_Params!$A$4:$K$23,4,FALSE)*VLOOKUP(B182,Upgrade_Params!$A$4:$K$23,5,FALSE)^(C182-1),0)</f>
        <v/>
      </c>
      <c r="F182" s="17">
        <f>ROUND(VLOOKUP(B182,Upgrade_Params!$A$4:$K$23,6,FALSE)*VLOOKUP(B182,Upgrade_Params!$A$4:$K$23,7,FALSE)^(C182-1),0)</f>
        <v/>
      </c>
      <c r="G182" s="17">
        <f>SUMIFS($F$4:F182,$B$4:B182,B182)</f>
        <v/>
      </c>
      <c r="H182" s="19">
        <f>IFERROR(E182/F182,0)</f>
        <v/>
      </c>
      <c r="I182" s="20">
        <f>VLOOKUP(B182,Upgrade_Params!$A$4:$K$23,9,FALSE)</f>
        <v/>
      </c>
      <c r="J182" s="20">
        <f>VLOOKUP(B182,Upgrade_Params!$A$4:$K$23,10,FALSE)</f>
        <v/>
      </c>
      <c r="K182" s="26">
        <f>IF(D182&lt;=6,"Starter",IF(D182&lt;=15,"Midgame",IF(D182&lt;=28,"Late Midgame","Endgame")))</f>
        <v/>
      </c>
      <c r="L182" s="18">
        <f>IFERROR(F182/E182*1000,0)</f>
        <v/>
      </c>
    </row>
    <row r="183">
      <c r="A183" s="25">
        <f>VLOOKUP(B183,Upgrade_Params!$A$4:$K$23,2,FALSE)</f>
        <v/>
      </c>
      <c r="B183" s="20" t="inlineStr">
        <is>
          <t>Fee Engine</t>
        </is>
      </c>
      <c r="C183" s="25" t="n">
        <v>15</v>
      </c>
      <c r="D183" s="25">
        <f>VLOOKUP(B183,Upgrade_Params!$A$4:$K$23,3,FALSE)</f>
        <v/>
      </c>
      <c r="E183" s="17">
        <f>ROUND(VLOOKUP(B183,Upgrade_Params!$A$4:$K$23,4,FALSE)*VLOOKUP(B183,Upgrade_Params!$A$4:$K$23,5,FALSE)^(C183-1),0)</f>
        <v/>
      </c>
      <c r="F183" s="17">
        <f>ROUND(VLOOKUP(B183,Upgrade_Params!$A$4:$K$23,6,FALSE)*VLOOKUP(B183,Upgrade_Params!$A$4:$K$23,7,FALSE)^(C183-1),0)</f>
        <v/>
      </c>
      <c r="G183" s="17">
        <f>SUMIFS($F$4:F183,$B$4:B183,B183)</f>
        <v/>
      </c>
      <c r="H183" s="19">
        <f>IFERROR(E183/F183,0)</f>
        <v/>
      </c>
      <c r="I183" s="20">
        <f>VLOOKUP(B183,Upgrade_Params!$A$4:$K$23,9,FALSE)</f>
        <v/>
      </c>
      <c r="J183" s="20">
        <f>VLOOKUP(B183,Upgrade_Params!$A$4:$K$23,10,FALSE)</f>
        <v/>
      </c>
      <c r="K183" s="26">
        <f>IF(D183&lt;=6,"Starter",IF(D183&lt;=15,"Midgame",IF(D183&lt;=28,"Late Midgame","Endgame")))</f>
        <v/>
      </c>
      <c r="L183" s="18">
        <f>IFERROR(F183/E183*1000,0)</f>
        <v/>
      </c>
    </row>
    <row r="184">
      <c r="A184" s="25">
        <f>VLOOKUP(B184,Upgrade_Params!$A$4:$K$23,2,FALSE)</f>
        <v/>
      </c>
      <c r="B184" s="20" t="inlineStr">
        <is>
          <t>Premium Market</t>
        </is>
      </c>
      <c r="C184" s="25" t="n">
        <v>1</v>
      </c>
      <c r="D184" s="25">
        <f>VLOOKUP(B184,Upgrade_Params!$A$4:$K$23,3,FALSE)</f>
        <v/>
      </c>
      <c r="E184" s="17">
        <f>ROUND(VLOOKUP(B184,Upgrade_Params!$A$4:$K$23,4,FALSE)*VLOOKUP(B184,Upgrade_Params!$A$4:$K$23,5,FALSE)^(C184-1),0)</f>
        <v/>
      </c>
      <c r="F184" s="17">
        <f>ROUND(VLOOKUP(B184,Upgrade_Params!$A$4:$K$23,6,FALSE)*VLOOKUP(B184,Upgrade_Params!$A$4:$K$23,7,FALSE)^(C184-1),0)</f>
        <v/>
      </c>
      <c r="G184" s="17">
        <f>SUMIFS($F$4:F184,$B$4:B184,B184)</f>
        <v/>
      </c>
      <c r="H184" s="19">
        <f>IFERROR(E184/F184,0)</f>
        <v/>
      </c>
      <c r="I184" s="20">
        <f>VLOOKUP(B184,Upgrade_Params!$A$4:$K$23,9,FALSE)</f>
        <v/>
      </c>
      <c r="J184" s="20">
        <f>VLOOKUP(B184,Upgrade_Params!$A$4:$K$23,10,FALSE)</f>
        <v/>
      </c>
      <c r="K184" s="26">
        <f>IF(D184&lt;=6,"Starter",IF(D184&lt;=15,"Midgame",IF(D184&lt;=28,"Late Midgame","Endgame")))</f>
        <v/>
      </c>
      <c r="L184" s="18">
        <f>IFERROR(F184/E184*1000,0)</f>
        <v/>
      </c>
    </row>
    <row r="185">
      <c r="A185" s="25">
        <f>VLOOKUP(B185,Upgrade_Params!$A$4:$K$23,2,FALSE)</f>
        <v/>
      </c>
      <c r="B185" s="20" t="inlineStr">
        <is>
          <t>Premium Market</t>
        </is>
      </c>
      <c r="C185" s="25" t="n">
        <v>2</v>
      </c>
      <c r="D185" s="25">
        <f>VLOOKUP(B185,Upgrade_Params!$A$4:$K$23,3,FALSE)</f>
        <v/>
      </c>
      <c r="E185" s="17">
        <f>ROUND(VLOOKUP(B185,Upgrade_Params!$A$4:$K$23,4,FALSE)*VLOOKUP(B185,Upgrade_Params!$A$4:$K$23,5,FALSE)^(C185-1),0)</f>
        <v/>
      </c>
      <c r="F185" s="17">
        <f>ROUND(VLOOKUP(B185,Upgrade_Params!$A$4:$K$23,6,FALSE)*VLOOKUP(B185,Upgrade_Params!$A$4:$K$23,7,FALSE)^(C185-1),0)</f>
        <v/>
      </c>
      <c r="G185" s="17">
        <f>SUMIFS($F$4:F185,$B$4:B185,B185)</f>
        <v/>
      </c>
      <c r="H185" s="19">
        <f>IFERROR(E185/F185,0)</f>
        <v/>
      </c>
      <c r="I185" s="20">
        <f>VLOOKUP(B185,Upgrade_Params!$A$4:$K$23,9,FALSE)</f>
        <v/>
      </c>
      <c r="J185" s="20">
        <f>VLOOKUP(B185,Upgrade_Params!$A$4:$K$23,10,FALSE)</f>
        <v/>
      </c>
      <c r="K185" s="26">
        <f>IF(D185&lt;=6,"Starter",IF(D185&lt;=15,"Midgame",IF(D185&lt;=28,"Late Midgame","Endgame")))</f>
        <v/>
      </c>
      <c r="L185" s="18">
        <f>IFERROR(F185/E185*1000,0)</f>
        <v/>
      </c>
    </row>
    <row r="186">
      <c r="A186" s="25">
        <f>VLOOKUP(B186,Upgrade_Params!$A$4:$K$23,2,FALSE)</f>
        <v/>
      </c>
      <c r="B186" s="20" t="inlineStr">
        <is>
          <t>Premium Market</t>
        </is>
      </c>
      <c r="C186" s="25" t="n">
        <v>3</v>
      </c>
      <c r="D186" s="25">
        <f>VLOOKUP(B186,Upgrade_Params!$A$4:$K$23,3,FALSE)</f>
        <v/>
      </c>
      <c r="E186" s="17">
        <f>ROUND(VLOOKUP(B186,Upgrade_Params!$A$4:$K$23,4,FALSE)*VLOOKUP(B186,Upgrade_Params!$A$4:$K$23,5,FALSE)^(C186-1),0)</f>
        <v/>
      </c>
      <c r="F186" s="17">
        <f>ROUND(VLOOKUP(B186,Upgrade_Params!$A$4:$K$23,6,FALSE)*VLOOKUP(B186,Upgrade_Params!$A$4:$K$23,7,FALSE)^(C186-1),0)</f>
        <v/>
      </c>
      <c r="G186" s="17">
        <f>SUMIFS($F$4:F186,$B$4:B186,B186)</f>
        <v/>
      </c>
      <c r="H186" s="19">
        <f>IFERROR(E186/F186,0)</f>
        <v/>
      </c>
      <c r="I186" s="20">
        <f>VLOOKUP(B186,Upgrade_Params!$A$4:$K$23,9,FALSE)</f>
        <v/>
      </c>
      <c r="J186" s="20">
        <f>VLOOKUP(B186,Upgrade_Params!$A$4:$K$23,10,FALSE)</f>
        <v/>
      </c>
      <c r="K186" s="26">
        <f>IF(D186&lt;=6,"Starter",IF(D186&lt;=15,"Midgame",IF(D186&lt;=28,"Late Midgame","Endgame")))</f>
        <v/>
      </c>
      <c r="L186" s="18">
        <f>IFERROR(F186/E186*1000,0)</f>
        <v/>
      </c>
    </row>
    <row r="187">
      <c r="A187" s="25">
        <f>VLOOKUP(B187,Upgrade_Params!$A$4:$K$23,2,FALSE)</f>
        <v/>
      </c>
      <c r="B187" s="20" t="inlineStr">
        <is>
          <t>Premium Market</t>
        </is>
      </c>
      <c r="C187" s="25" t="n">
        <v>4</v>
      </c>
      <c r="D187" s="25">
        <f>VLOOKUP(B187,Upgrade_Params!$A$4:$K$23,3,FALSE)</f>
        <v/>
      </c>
      <c r="E187" s="17">
        <f>ROUND(VLOOKUP(B187,Upgrade_Params!$A$4:$K$23,4,FALSE)*VLOOKUP(B187,Upgrade_Params!$A$4:$K$23,5,FALSE)^(C187-1),0)</f>
        <v/>
      </c>
      <c r="F187" s="17">
        <f>ROUND(VLOOKUP(B187,Upgrade_Params!$A$4:$K$23,6,FALSE)*VLOOKUP(B187,Upgrade_Params!$A$4:$K$23,7,FALSE)^(C187-1),0)</f>
        <v/>
      </c>
      <c r="G187" s="17">
        <f>SUMIFS($F$4:F187,$B$4:B187,B187)</f>
        <v/>
      </c>
      <c r="H187" s="19">
        <f>IFERROR(E187/F187,0)</f>
        <v/>
      </c>
      <c r="I187" s="20">
        <f>VLOOKUP(B187,Upgrade_Params!$A$4:$K$23,9,FALSE)</f>
        <v/>
      </c>
      <c r="J187" s="20">
        <f>VLOOKUP(B187,Upgrade_Params!$A$4:$K$23,10,FALSE)</f>
        <v/>
      </c>
      <c r="K187" s="26">
        <f>IF(D187&lt;=6,"Starter",IF(D187&lt;=15,"Midgame",IF(D187&lt;=28,"Late Midgame","Endgame")))</f>
        <v/>
      </c>
      <c r="L187" s="18">
        <f>IFERROR(F187/E187*1000,0)</f>
        <v/>
      </c>
    </row>
    <row r="188">
      <c r="A188" s="25">
        <f>VLOOKUP(B188,Upgrade_Params!$A$4:$K$23,2,FALSE)</f>
        <v/>
      </c>
      <c r="B188" s="20" t="inlineStr">
        <is>
          <t>Premium Market</t>
        </is>
      </c>
      <c r="C188" s="25" t="n">
        <v>5</v>
      </c>
      <c r="D188" s="25">
        <f>VLOOKUP(B188,Upgrade_Params!$A$4:$K$23,3,FALSE)</f>
        <v/>
      </c>
      <c r="E188" s="17">
        <f>ROUND(VLOOKUP(B188,Upgrade_Params!$A$4:$K$23,4,FALSE)*VLOOKUP(B188,Upgrade_Params!$A$4:$K$23,5,FALSE)^(C188-1),0)</f>
        <v/>
      </c>
      <c r="F188" s="17">
        <f>ROUND(VLOOKUP(B188,Upgrade_Params!$A$4:$K$23,6,FALSE)*VLOOKUP(B188,Upgrade_Params!$A$4:$K$23,7,FALSE)^(C188-1),0)</f>
        <v/>
      </c>
      <c r="G188" s="17">
        <f>SUMIFS($F$4:F188,$B$4:B188,B188)</f>
        <v/>
      </c>
      <c r="H188" s="19">
        <f>IFERROR(E188/F188,0)</f>
        <v/>
      </c>
      <c r="I188" s="20">
        <f>VLOOKUP(B188,Upgrade_Params!$A$4:$K$23,9,FALSE)</f>
        <v/>
      </c>
      <c r="J188" s="20">
        <f>VLOOKUP(B188,Upgrade_Params!$A$4:$K$23,10,FALSE)</f>
        <v/>
      </c>
      <c r="K188" s="26">
        <f>IF(D188&lt;=6,"Starter",IF(D188&lt;=15,"Midgame",IF(D188&lt;=28,"Late Midgame","Endgame")))</f>
        <v/>
      </c>
      <c r="L188" s="18">
        <f>IFERROR(F188/E188*1000,0)</f>
        <v/>
      </c>
    </row>
    <row r="189">
      <c r="A189" s="25">
        <f>VLOOKUP(B189,Upgrade_Params!$A$4:$K$23,2,FALSE)</f>
        <v/>
      </c>
      <c r="B189" s="20" t="inlineStr">
        <is>
          <t>Premium Market</t>
        </is>
      </c>
      <c r="C189" s="25" t="n">
        <v>6</v>
      </c>
      <c r="D189" s="25">
        <f>VLOOKUP(B189,Upgrade_Params!$A$4:$K$23,3,FALSE)</f>
        <v/>
      </c>
      <c r="E189" s="17">
        <f>ROUND(VLOOKUP(B189,Upgrade_Params!$A$4:$K$23,4,FALSE)*VLOOKUP(B189,Upgrade_Params!$A$4:$K$23,5,FALSE)^(C189-1),0)</f>
        <v/>
      </c>
      <c r="F189" s="17">
        <f>ROUND(VLOOKUP(B189,Upgrade_Params!$A$4:$K$23,6,FALSE)*VLOOKUP(B189,Upgrade_Params!$A$4:$K$23,7,FALSE)^(C189-1),0)</f>
        <v/>
      </c>
      <c r="G189" s="17">
        <f>SUMIFS($F$4:F189,$B$4:B189,B189)</f>
        <v/>
      </c>
      <c r="H189" s="19">
        <f>IFERROR(E189/F189,0)</f>
        <v/>
      </c>
      <c r="I189" s="20">
        <f>VLOOKUP(B189,Upgrade_Params!$A$4:$K$23,9,FALSE)</f>
        <v/>
      </c>
      <c r="J189" s="20">
        <f>VLOOKUP(B189,Upgrade_Params!$A$4:$K$23,10,FALSE)</f>
        <v/>
      </c>
      <c r="K189" s="26">
        <f>IF(D189&lt;=6,"Starter",IF(D189&lt;=15,"Midgame",IF(D189&lt;=28,"Late Midgame","Endgame")))</f>
        <v/>
      </c>
      <c r="L189" s="18">
        <f>IFERROR(F189/E189*1000,0)</f>
        <v/>
      </c>
    </row>
    <row r="190">
      <c r="A190" s="25">
        <f>VLOOKUP(B190,Upgrade_Params!$A$4:$K$23,2,FALSE)</f>
        <v/>
      </c>
      <c r="B190" s="20" t="inlineStr">
        <is>
          <t>Premium Market</t>
        </is>
      </c>
      <c r="C190" s="25" t="n">
        <v>7</v>
      </c>
      <c r="D190" s="25">
        <f>VLOOKUP(B190,Upgrade_Params!$A$4:$K$23,3,FALSE)</f>
        <v/>
      </c>
      <c r="E190" s="17">
        <f>ROUND(VLOOKUP(B190,Upgrade_Params!$A$4:$K$23,4,FALSE)*VLOOKUP(B190,Upgrade_Params!$A$4:$K$23,5,FALSE)^(C190-1),0)</f>
        <v/>
      </c>
      <c r="F190" s="17">
        <f>ROUND(VLOOKUP(B190,Upgrade_Params!$A$4:$K$23,6,FALSE)*VLOOKUP(B190,Upgrade_Params!$A$4:$K$23,7,FALSE)^(C190-1),0)</f>
        <v/>
      </c>
      <c r="G190" s="17">
        <f>SUMIFS($F$4:F190,$B$4:B190,B190)</f>
        <v/>
      </c>
      <c r="H190" s="19">
        <f>IFERROR(E190/F190,0)</f>
        <v/>
      </c>
      <c r="I190" s="20">
        <f>VLOOKUP(B190,Upgrade_Params!$A$4:$K$23,9,FALSE)</f>
        <v/>
      </c>
      <c r="J190" s="20">
        <f>VLOOKUP(B190,Upgrade_Params!$A$4:$K$23,10,FALSE)</f>
        <v/>
      </c>
      <c r="K190" s="26">
        <f>IF(D190&lt;=6,"Starter",IF(D190&lt;=15,"Midgame",IF(D190&lt;=28,"Late Midgame","Endgame")))</f>
        <v/>
      </c>
      <c r="L190" s="18">
        <f>IFERROR(F190/E190*1000,0)</f>
        <v/>
      </c>
    </row>
    <row r="191">
      <c r="A191" s="25">
        <f>VLOOKUP(B191,Upgrade_Params!$A$4:$K$23,2,FALSE)</f>
        <v/>
      </c>
      <c r="B191" s="20" t="inlineStr">
        <is>
          <t>Premium Market</t>
        </is>
      </c>
      <c r="C191" s="25" t="n">
        <v>8</v>
      </c>
      <c r="D191" s="25">
        <f>VLOOKUP(B191,Upgrade_Params!$A$4:$K$23,3,FALSE)</f>
        <v/>
      </c>
      <c r="E191" s="17">
        <f>ROUND(VLOOKUP(B191,Upgrade_Params!$A$4:$K$23,4,FALSE)*VLOOKUP(B191,Upgrade_Params!$A$4:$K$23,5,FALSE)^(C191-1),0)</f>
        <v/>
      </c>
      <c r="F191" s="17">
        <f>ROUND(VLOOKUP(B191,Upgrade_Params!$A$4:$K$23,6,FALSE)*VLOOKUP(B191,Upgrade_Params!$A$4:$K$23,7,FALSE)^(C191-1),0)</f>
        <v/>
      </c>
      <c r="G191" s="17">
        <f>SUMIFS($F$4:F191,$B$4:B191,B191)</f>
        <v/>
      </c>
      <c r="H191" s="19">
        <f>IFERROR(E191/F191,0)</f>
        <v/>
      </c>
      <c r="I191" s="20">
        <f>VLOOKUP(B191,Upgrade_Params!$A$4:$K$23,9,FALSE)</f>
        <v/>
      </c>
      <c r="J191" s="20">
        <f>VLOOKUP(B191,Upgrade_Params!$A$4:$K$23,10,FALSE)</f>
        <v/>
      </c>
      <c r="K191" s="26">
        <f>IF(D191&lt;=6,"Starter",IF(D191&lt;=15,"Midgame",IF(D191&lt;=28,"Late Midgame","Endgame")))</f>
        <v/>
      </c>
      <c r="L191" s="18">
        <f>IFERROR(F191/E191*1000,0)</f>
        <v/>
      </c>
    </row>
    <row r="192">
      <c r="A192" s="25">
        <f>VLOOKUP(B192,Upgrade_Params!$A$4:$K$23,2,FALSE)</f>
        <v/>
      </c>
      <c r="B192" s="20" t="inlineStr">
        <is>
          <t>Premium Market</t>
        </is>
      </c>
      <c r="C192" s="25" t="n">
        <v>9</v>
      </c>
      <c r="D192" s="25">
        <f>VLOOKUP(B192,Upgrade_Params!$A$4:$K$23,3,FALSE)</f>
        <v/>
      </c>
      <c r="E192" s="17">
        <f>ROUND(VLOOKUP(B192,Upgrade_Params!$A$4:$K$23,4,FALSE)*VLOOKUP(B192,Upgrade_Params!$A$4:$K$23,5,FALSE)^(C192-1),0)</f>
        <v/>
      </c>
      <c r="F192" s="17">
        <f>ROUND(VLOOKUP(B192,Upgrade_Params!$A$4:$K$23,6,FALSE)*VLOOKUP(B192,Upgrade_Params!$A$4:$K$23,7,FALSE)^(C192-1),0)</f>
        <v/>
      </c>
      <c r="G192" s="17">
        <f>SUMIFS($F$4:F192,$B$4:B192,B192)</f>
        <v/>
      </c>
      <c r="H192" s="19">
        <f>IFERROR(E192/F192,0)</f>
        <v/>
      </c>
      <c r="I192" s="20">
        <f>VLOOKUP(B192,Upgrade_Params!$A$4:$K$23,9,FALSE)</f>
        <v/>
      </c>
      <c r="J192" s="20">
        <f>VLOOKUP(B192,Upgrade_Params!$A$4:$K$23,10,FALSE)</f>
        <v/>
      </c>
      <c r="K192" s="26">
        <f>IF(D192&lt;=6,"Starter",IF(D192&lt;=15,"Midgame",IF(D192&lt;=28,"Late Midgame","Endgame")))</f>
        <v/>
      </c>
      <c r="L192" s="18">
        <f>IFERROR(F192/E192*1000,0)</f>
        <v/>
      </c>
    </row>
    <row r="193">
      <c r="A193" s="25">
        <f>VLOOKUP(B193,Upgrade_Params!$A$4:$K$23,2,FALSE)</f>
        <v/>
      </c>
      <c r="B193" s="20" t="inlineStr">
        <is>
          <t>Premium Market</t>
        </is>
      </c>
      <c r="C193" s="25" t="n">
        <v>10</v>
      </c>
      <c r="D193" s="25">
        <f>VLOOKUP(B193,Upgrade_Params!$A$4:$K$23,3,FALSE)</f>
        <v/>
      </c>
      <c r="E193" s="17">
        <f>ROUND(VLOOKUP(B193,Upgrade_Params!$A$4:$K$23,4,FALSE)*VLOOKUP(B193,Upgrade_Params!$A$4:$K$23,5,FALSE)^(C193-1),0)</f>
        <v/>
      </c>
      <c r="F193" s="17">
        <f>ROUND(VLOOKUP(B193,Upgrade_Params!$A$4:$K$23,6,FALSE)*VLOOKUP(B193,Upgrade_Params!$A$4:$K$23,7,FALSE)^(C193-1),0)</f>
        <v/>
      </c>
      <c r="G193" s="17">
        <f>SUMIFS($F$4:F193,$B$4:B193,B193)</f>
        <v/>
      </c>
      <c r="H193" s="19">
        <f>IFERROR(E193/F193,0)</f>
        <v/>
      </c>
      <c r="I193" s="20">
        <f>VLOOKUP(B193,Upgrade_Params!$A$4:$K$23,9,FALSE)</f>
        <v/>
      </c>
      <c r="J193" s="20">
        <f>VLOOKUP(B193,Upgrade_Params!$A$4:$K$23,10,FALSE)</f>
        <v/>
      </c>
      <c r="K193" s="26">
        <f>IF(D193&lt;=6,"Starter",IF(D193&lt;=15,"Midgame",IF(D193&lt;=28,"Late Midgame","Endgame")))</f>
        <v/>
      </c>
      <c r="L193" s="18">
        <f>IFERROR(F193/E193*1000,0)</f>
        <v/>
      </c>
    </row>
    <row r="194">
      <c r="A194" s="25">
        <f>VLOOKUP(B194,Upgrade_Params!$A$4:$K$23,2,FALSE)</f>
        <v/>
      </c>
      <c r="B194" s="20" t="inlineStr">
        <is>
          <t>Premium Market</t>
        </is>
      </c>
      <c r="C194" s="25" t="n">
        <v>11</v>
      </c>
      <c r="D194" s="25">
        <f>VLOOKUP(B194,Upgrade_Params!$A$4:$K$23,3,FALSE)</f>
        <v/>
      </c>
      <c r="E194" s="17">
        <f>ROUND(VLOOKUP(B194,Upgrade_Params!$A$4:$K$23,4,FALSE)*VLOOKUP(B194,Upgrade_Params!$A$4:$K$23,5,FALSE)^(C194-1),0)</f>
        <v/>
      </c>
      <c r="F194" s="17">
        <f>ROUND(VLOOKUP(B194,Upgrade_Params!$A$4:$K$23,6,FALSE)*VLOOKUP(B194,Upgrade_Params!$A$4:$K$23,7,FALSE)^(C194-1),0)</f>
        <v/>
      </c>
      <c r="G194" s="17">
        <f>SUMIFS($F$4:F194,$B$4:B194,B194)</f>
        <v/>
      </c>
      <c r="H194" s="19">
        <f>IFERROR(E194/F194,0)</f>
        <v/>
      </c>
      <c r="I194" s="20">
        <f>VLOOKUP(B194,Upgrade_Params!$A$4:$K$23,9,FALSE)</f>
        <v/>
      </c>
      <c r="J194" s="20">
        <f>VLOOKUP(B194,Upgrade_Params!$A$4:$K$23,10,FALSE)</f>
        <v/>
      </c>
      <c r="K194" s="26">
        <f>IF(D194&lt;=6,"Starter",IF(D194&lt;=15,"Midgame",IF(D194&lt;=28,"Late Midgame","Endgame")))</f>
        <v/>
      </c>
      <c r="L194" s="18">
        <f>IFERROR(F194/E194*1000,0)</f>
        <v/>
      </c>
    </row>
    <row r="195">
      <c r="A195" s="25">
        <f>VLOOKUP(B195,Upgrade_Params!$A$4:$K$23,2,FALSE)</f>
        <v/>
      </c>
      <c r="B195" s="20" t="inlineStr">
        <is>
          <t>Premium Market</t>
        </is>
      </c>
      <c r="C195" s="25" t="n">
        <v>12</v>
      </c>
      <c r="D195" s="25">
        <f>VLOOKUP(B195,Upgrade_Params!$A$4:$K$23,3,FALSE)</f>
        <v/>
      </c>
      <c r="E195" s="17">
        <f>ROUND(VLOOKUP(B195,Upgrade_Params!$A$4:$K$23,4,FALSE)*VLOOKUP(B195,Upgrade_Params!$A$4:$K$23,5,FALSE)^(C195-1),0)</f>
        <v/>
      </c>
      <c r="F195" s="17">
        <f>ROUND(VLOOKUP(B195,Upgrade_Params!$A$4:$K$23,6,FALSE)*VLOOKUP(B195,Upgrade_Params!$A$4:$K$23,7,FALSE)^(C195-1),0)</f>
        <v/>
      </c>
      <c r="G195" s="17">
        <f>SUMIFS($F$4:F195,$B$4:B195,B195)</f>
        <v/>
      </c>
      <c r="H195" s="19">
        <f>IFERROR(E195/F195,0)</f>
        <v/>
      </c>
      <c r="I195" s="20">
        <f>VLOOKUP(B195,Upgrade_Params!$A$4:$K$23,9,FALSE)</f>
        <v/>
      </c>
      <c r="J195" s="20">
        <f>VLOOKUP(B195,Upgrade_Params!$A$4:$K$23,10,FALSE)</f>
        <v/>
      </c>
      <c r="K195" s="26">
        <f>IF(D195&lt;=6,"Starter",IF(D195&lt;=15,"Midgame",IF(D195&lt;=28,"Late Midgame","Endgame")))</f>
        <v/>
      </c>
      <c r="L195" s="18">
        <f>IFERROR(F195/E195*1000,0)</f>
        <v/>
      </c>
    </row>
    <row r="196">
      <c r="A196" s="25">
        <f>VLOOKUP(B196,Upgrade_Params!$A$4:$K$23,2,FALSE)</f>
        <v/>
      </c>
      <c r="B196" s="20" t="inlineStr">
        <is>
          <t>Premium Market</t>
        </is>
      </c>
      <c r="C196" s="25" t="n">
        <v>13</v>
      </c>
      <c r="D196" s="25">
        <f>VLOOKUP(B196,Upgrade_Params!$A$4:$K$23,3,FALSE)</f>
        <v/>
      </c>
      <c r="E196" s="17">
        <f>ROUND(VLOOKUP(B196,Upgrade_Params!$A$4:$K$23,4,FALSE)*VLOOKUP(B196,Upgrade_Params!$A$4:$K$23,5,FALSE)^(C196-1),0)</f>
        <v/>
      </c>
      <c r="F196" s="17">
        <f>ROUND(VLOOKUP(B196,Upgrade_Params!$A$4:$K$23,6,FALSE)*VLOOKUP(B196,Upgrade_Params!$A$4:$K$23,7,FALSE)^(C196-1),0)</f>
        <v/>
      </c>
      <c r="G196" s="17">
        <f>SUMIFS($F$4:F196,$B$4:B196,B196)</f>
        <v/>
      </c>
      <c r="H196" s="19">
        <f>IFERROR(E196/F196,0)</f>
        <v/>
      </c>
      <c r="I196" s="20">
        <f>VLOOKUP(B196,Upgrade_Params!$A$4:$K$23,9,FALSE)</f>
        <v/>
      </c>
      <c r="J196" s="20">
        <f>VLOOKUP(B196,Upgrade_Params!$A$4:$K$23,10,FALSE)</f>
        <v/>
      </c>
      <c r="K196" s="26">
        <f>IF(D196&lt;=6,"Starter",IF(D196&lt;=15,"Midgame",IF(D196&lt;=28,"Late Midgame","Endgame")))</f>
        <v/>
      </c>
      <c r="L196" s="18">
        <f>IFERROR(F196/E196*1000,0)</f>
        <v/>
      </c>
    </row>
    <row r="197">
      <c r="A197" s="25">
        <f>VLOOKUP(B197,Upgrade_Params!$A$4:$K$23,2,FALSE)</f>
        <v/>
      </c>
      <c r="B197" s="20" t="inlineStr">
        <is>
          <t>Premium Market</t>
        </is>
      </c>
      <c r="C197" s="25" t="n">
        <v>14</v>
      </c>
      <c r="D197" s="25">
        <f>VLOOKUP(B197,Upgrade_Params!$A$4:$K$23,3,FALSE)</f>
        <v/>
      </c>
      <c r="E197" s="17">
        <f>ROUND(VLOOKUP(B197,Upgrade_Params!$A$4:$K$23,4,FALSE)*VLOOKUP(B197,Upgrade_Params!$A$4:$K$23,5,FALSE)^(C197-1),0)</f>
        <v/>
      </c>
      <c r="F197" s="17">
        <f>ROUND(VLOOKUP(B197,Upgrade_Params!$A$4:$K$23,6,FALSE)*VLOOKUP(B197,Upgrade_Params!$A$4:$K$23,7,FALSE)^(C197-1),0)</f>
        <v/>
      </c>
      <c r="G197" s="17">
        <f>SUMIFS($F$4:F197,$B$4:B197,B197)</f>
        <v/>
      </c>
      <c r="H197" s="19">
        <f>IFERROR(E197/F197,0)</f>
        <v/>
      </c>
      <c r="I197" s="20">
        <f>VLOOKUP(B197,Upgrade_Params!$A$4:$K$23,9,FALSE)</f>
        <v/>
      </c>
      <c r="J197" s="20">
        <f>VLOOKUP(B197,Upgrade_Params!$A$4:$K$23,10,FALSE)</f>
        <v/>
      </c>
      <c r="K197" s="26">
        <f>IF(D197&lt;=6,"Starter",IF(D197&lt;=15,"Midgame",IF(D197&lt;=28,"Late Midgame","Endgame")))</f>
        <v/>
      </c>
      <c r="L197" s="18">
        <f>IFERROR(F197/E197*1000,0)</f>
        <v/>
      </c>
    </row>
    <row r="198">
      <c r="A198" s="25">
        <f>VLOOKUP(B198,Upgrade_Params!$A$4:$K$23,2,FALSE)</f>
        <v/>
      </c>
      <c r="B198" s="20" t="inlineStr">
        <is>
          <t>Premium Market</t>
        </is>
      </c>
      <c r="C198" s="25" t="n">
        <v>15</v>
      </c>
      <c r="D198" s="25">
        <f>VLOOKUP(B198,Upgrade_Params!$A$4:$K$23,3,FALSE)</f>
        <v/>
      </c>
      <c r="E198" s="17">
        <f>ROUND(VLOOKUP(B198,Upgrade_Params!$A$4:$K$23,4,FALSE)*VLOOKUP(B198,Upgrade_Params!$A$4:$K$23,5,FALSE)^(C198-1),0)</f>
        <v/>
      </c>
      <c r="F198" s="17">
        <f>ROUND(VLOOKUP(B198,Upgrade_Params!$A$4:$K$23,6,FALSE)*VLOOKUP(B198,Upgrade_Params!$A$4:$K$23,7,FALSE)^(C198-1),0)</f>
        <v/>
      </c>
      <c r="G198" s="17">
        <f>SUMIFS($F$4:F198,$B$4:B198,B198)</f>
        <v/>
      </c>
      <c r="H198" s="19">
        <f>IFERROR(E198/F198,0)</f>
        <v/>
      </c>
      <c r="I198" s="20">
        <f>VLOOKUP(B198,Upgrade_Params!$A$4:$K$23,9,FALSE)</f>
        <v/>
      </c>
      <c r="J198" s="20">
        <f>VLOOKUP(B198,Upgrade_Params!$A$4:$K$23,10,FALSE)</f>
        <v/>
      </c>
      <c r="K198" s="26">
        <f>IF(D198&lt;=6,"Starter",IF(D198&lt;=15,"Midgame",IF(D198&lt;=28,"Late Midgame","Endgame")))</f>
        <v/>
      </c>
      <c r="L198" s="18">
        <f>IFERROR(F198/E198*1000,0)</f>
        <v/>
      </c>
    </row>
    <row r="199">
      <c r="A199" s="25">
        <f>VLOOKUP(B199,Upgrade_Params!$A$4:$K$23,2,FALSE)</f>
        <v/>
      </c>
      <c r="B199" s="20" t="inlineStr">
        <is>
          <t>Guild Program</t>
        </is>
      </c>
      <c r="C199" s="25" t="n">
        <v>1</v>
      </c>
      <c r="D199" s="25">
        <f>VLOOKUP(B199,Upgrade_Params!$A$4:$K$23,3,FALSE)</f>
        <v/>
      </c>
      <c r="E199" s="17">
        <f>ROUND(VLOOKUP(B199,Upgrade_Params!$A$4:$K$23,4,FALSE)*VLOOKUP(B199,Upgrade_Params!$A$4:$K$23,5,FALSE)^(C199-1),0)</f>
        <v/>
      </c>
      <c r="F199" s="17">
        <f>ROUND(VLOOKUP(B199,Upgrade_Params!$A$4:$K$23,6,FALSE)*VLOOKUP(B199,Upgrade_Params!$A$4:$K$23,7,FALSE)^(C199-1),0)</f>
        <v/>
      </c>
      <c r="G199" s="17">
        <f>SUMIFS($F$4:F199,$B$4:B199,B199)</f>
        <v/>
      </c>
      <c r="H199" s="19">
        <f>IFERROR(E199/F199,0)</f>
        <v/>
      </c>
      <c r="I199" s="20">
        <f>VLOOKUP(B199,Upgrade_Params!$A$4:$K$23,9,FALSE)</f>
        <v/>
      </c>
      <c r="J199" s="20">
        <f>VLOOKUP(B199,Upgrade_Params!$A$4:$K$23,10,FALSE)</f>
        <v/>
      </c>
      <c r="K199" s="26">
        <f>IF(D199&lt;=6,"Starter",IF(D199&lt;=15,"Midgame",IF(D199&lt;=28,"Late Midgame","Endgame")))</f>
        <v/>
      </c>
      <c r="L199" s="18">
        <f>IFERROR(F199/E199*1000,0)</f>
        <v/>
      </c>
    </row>
    <row r="200">
      <c r="A200" s="25">
        <f>VLOOKUP(B200,Upgrade_Params!$A$4:$K$23,2,FALSE)</f>
        <v/>
      </c>
      <c r="B200" s="20" t="inlineStr">
        <is>
          <t>Guild Program</t>
        </is>
      </c>
      <c r="C200" s="25" t="n">
        <v>2</v>
      </c>
      <c r="D200" s="25">
        <f>VLOOKUP(B200,Upgrade_Params!$A$4:$K$23,3,FALSE)</f>
        <v/>
      </c>
      <c r="E200" s="17">
        <f>ROUND(VLOOKUP(B200,Upgrade_Params!$A$4:$K$23,4,FALSE)*VLOOKUP(B200,Upgrade_Params!$A$4:$K$23,5,FALSE)^(C200-1),0)</f>
        <v/>
      </c>
      <c r="F200" s="17">
        <f>ROUND(VLOOKUP(B200,Upgrade_Params!$A$4:$K$23,6,FALSE)*VLOOKUP(B200,Upgrade_Params!$A$4:$K$23,7,FALSE)^(C200-1),0)</f>
        <v/>
      </c>
      <c r="G200" s="17">
        <f>SUMIFS($F$4:F200,$B$4:B200,B200)</f>
        <v/>
      </c>
      <c r="H200" s="19">
        <f>IFERROR(E200/F200,0)</f>
        <v/>
      </c>
      <c r="I200" s="20">
        <f>VLOOKUP(B200,Upgrade_Params!$A$4:$K$23,9,FALSE)</f>
        <v/>
      </c>
      <c r="J200" s="20">
        <f>VLOOKUP(B200,Upgrade_Params!$A$4:$K$23,10,FALSE)</f>
        <v/>
      </c>
      <c r="K200" s="26">
        <f>IF(D200&lt;=6,"Starter",IF(D200&lt;=15,"Midgame",IF(D200&lt;=28,"Late Midgame","Endgame")))</f>
        <v/>
      </c>
      <c r="L200" s="18">
        <f>IFERROR(F200/E200*1000,0)</f>
        <v/>
      </c>
    </row>
    <row r="201">
      <c r="A201" s="25">
        <f>VLOOKUP(B201,Upgrade_Params!$A$4:$K$23,2,FALSE)</f>
        <v/>
      </c>
      <c r="B201" s="20" t="inlineStr">
        <is>
          <t>Guild Program</t>
        </is>
      </c>
      <c r="C201" s="25" t="n">
        <v>3</v>
      </c>
      <c r="D201" s="25">
        <f>VLOOKUP(B201,Upgrade_Params!$A$4:$K$23,3,FALSE)</f>
        <v/>
      </c>
      <c r="E201" s="17">
        <f>ROUND(VLOOKUP(B201,Upgrade_Params!$A$4:$K$23,4,FALSE)*VLOOKUP(B201,Upgrade_Params!$A$4:$K$23,5,FALSE)^(C201-1),0)</f>
        <v/>
      </c>
      <c r="F201" s="17">
        <f>ROUND(VLOOKUP(B201,Upgrade_Params!$A$4:$K$23,6,FALSE)*VLOOKUP(B201,Upgrade_Params!$A$4:$K$23,7,FALSE)^(C201-1),0)</f>
        <v/>
      </c>
      <c r="G201" s="17">
        <f>SUMIFS($F$4:F201,$B$4:B201,B201)</f>
        <v/>
      </c>
      <c r="H201" s="19">
        <f>IFERROR(E201/F201,0)</f>
        <v/>
      </c>
      <c r="I201" s="20">
        <f>VLOOKUP(B201,Upgrade_Params!$A$4:$K$23,9,FALSE)</f>
        <v/>
      </c>
      <c r="J201" s="20">
        <f>VLOOKUP(B201,Upgrade_Params!$A$4:$K$23,10,FALSE)</f>
        <v/>
      </c>
      <c r="K201" s="26">
        <f>IF(D201&lt;=6,"Starter",IF(D201&lt;=15,"Midgame",IF(D201&lt;=28,"Late Midgame","Endgame")))</f>
        <v/>
      </c>
      <c r="L201" s="18">
        <f>IFERROR(F201/E201*1000,0)</f>
        <v/>
      </c>
    </row>
    <row r="202">
      <c r="A202" s="25">
        <f>VLOOKUP(B202,Upgrade_Params!$A$4:$K$23,2,FALSE)</f>
        <v/>
      </c>
      <c r="B202" s="20" t="inlineStr">
        <is>
          <t>Guild Program</t>
        </is>
      </c>
      <c r="C202" s="25" t="n">
        <v>4</v>
      </c>
      <c r="D202" s="25">
        <f>VLOOKUP(B202,Upgrade_Params!$A$4:$K$23,3,FALSE)</f>
        <v/>
      </c>
      <c r="E202" s="17">
        <f>ROUND(VLOOKUP(B202,Upgrade_Params!$A$4:$K$23,4,FALSE)*VLOOKUP(B202,Upgrade_Params!$A$4:$K$23,5,FALSE)^(C202-1),0)</f>
        <v/>
      </c>
      <c r="F202" s="17">
        <f>ROUND(VLOOKUP(B202,Upgrade_Params!$A$4:$K$23,6,FALSE)*VLOOKUP(B202,Upgrade_Params!$A$4:$K$23,7,FALSE)^(C202-1),0)</f>
        <v/>
      </c>
      <c r="G202" s="17">
        <f>SUMIFS($F$4:F202,$B$4:B202,B202)</f>
        <v/>
      </c>
      <c r="H202" s="19">
        <f>IFERROR(E202/F202,0)</f>
        <v/>
      </c>
      <c r="I202" s="20">
        <f>VLOOKUP(B202,Upgrade_Params!$A$4:$K$23,9,FALSE)</f>
        <v/>
      </c>
      <c r="J202" s="20">
        <f>VLOOKUP(B202,Upgrade_Params!$A$4:$K$23,10,FALSE)</f>
        <v/>
      </c>
      <c r="K202" s="26">
        <f>IF(D202&lt;=6,"Starter",IF(D202&lt;=15,"Midgame",IF(D202&lt;=28,"Late Midgame","Endgame")))</f>
        <v/>
      </c>
      <c r="L202" s="18">
        <f>IFERROR(F202/E202*1000,0)</f>
        <v/>
      </c>
    </row>
    <row r="203">
      <c r="A203" s="25">
        <f>VLOOKUP(B203,Upgrade_Params!$A$4:$K$23,2,FALSE)</f>
        <v/>
      </c>
      <c r="B203" s="20" t="inlineStr">
        <is>
          <t>Guild Program</t>
        </is>
      </c>
      <c r="C203" s="25" t="n">
        <v>5</v>
      </c>
      <c r="D203" s="25">
        <f>VLOOKUP(B203,Upgrade_Params!$A$4:$K$23,3,FALSE)</f>
        <v/>
      </c>
      <c r="E203" s="17">
        <f>ROUND(VLOOKUP(B203,Upgrade_Params!$A$4:$K$23,4,FALSE)*VLOOKUP(B203,Upgrade_Params!$A$4:$K$23,5,FALSE)^(C203-1),0)</f>
        <v/>
      </c>
      <c r="F203" s="17">
        <f>ROUND(VLOOKUP(B203,Upgrade_Params!$A$4:$K$23,6,FALSE)*VLOOKUP(B203,Upgrade_Params!$A$4:$K$23,7,FALSE)^(C203-1),0)</f>
        <v/>
      </c>
      <c r="G203" s="17">
        <f>SUMIFS($F$4:F203,$B$4:B203,B203)</f>
        <v/>
      </c>
      <c r="H203" s="19">
        <f>IFERROR(E203/F203,0)</f>
        <v/>
      </c>
      <c r="I203" s="20">
        <f>VLOOKUP(B203,Upgrade_Params!$A$4:$K$23,9,FALSE)</f>
        <v/>
      </c>
      <c r="J203" s="20">
        <f>VLOOKUP(B203,Upgrade_Params!$A$4:$K$23,10,FALSE)</f>
        <v/>
      </c>
      <c r="K203" s="26">
        <f>IF(D203&lt;=6,"Starter",IF(D203&lt;=15,"Midgame",IF(D203&lt;=28,"Late Midgame","Endgame")))</f>
        <v/>
      </c>
      <c r="L203" s="18">
        <f>IFERROR(F203/E203*1000,0)</f>
        <v/>
      </c>
    </row>
    <row r="204">
      <c r="A204" s="25">
        <f>VLOOKUP(B204,Upgrade_Params!$A$4:$K$23,2,FALSE)</f>
        <v/>
      </c>
      <c r="B204" s="20" t="inlineStr">
        <is>
          <t>Guild Program</t>
        </is>
      </c>
      <c r="C204" s="25" t="n">
        <v>6</v>
      </c>
      <c r="D204" s="25">
        <f>VLOOKUP(B204,Upgrade_Params!$A$4:$K$23,3,FALSE)</f>
        <v/>
      </c>
      <c r="E204" s="17">
        <f>ROUND(VLOOKUP(B204,Upgrade_Params!$A$4:$K$23,4,FALSE)*VLOOKUP(B204,Upgrade_Params!$A$4:$K$23,5,FALSE)^(C204-1),0)</f>
        <v/>
      </c>
      <c r="F204" s="17">
        <f>ROUND(VLOOKUP(B204,Upgrade_Params!$A$4:$K$23,6,FALSE)*VLOOKUP(B204,Upgrade_Params!$A$4:$K$23,7,FALSE)^(C204-1),0)</f>
        <v/>
      </c>
      <c r="G204" s="17">
        <f>SUMIFS($F$4:F204,$B$4:B204,B204)</f>
        <v/>
      </c>
      <c r="H204" s="19">
        <f>IFERROR(E204/F204,0)</f>
        <v/>
      </c>
      <c r="I204" s="20">
        <f>VLOOKUP(B204,Upgrade_Params!$A$4:$K$23,9,FALSE)</f>
        <v/>
      </c>
      <c r="J204" s="20">
        <f>VLOOKUP(B204,Upgrade_Params!$A$4:$K$23,10,FALSE)</f>
        <v/>
      </c>
      <c r="K204" s="26">
        <f>IF(D204&lt;=6,"Starter",IF(D204&lt;=15,"Midgame",IF(D204&lt;=28,"Late Midgame","Endgame")))</f>
        <v/>
      </c>
      <c r="L204" s="18">
        <f>IFERROR(F204/E204*1000,0)</f>
        <v/>
      </c>
    </row>
    <row r="205">
      <c r="A205" s="25">
        <f>VLOOKUP(B205,Upgrade_Params!$A$4:$K$23,2,FALSE)</f>
        <v/>
      </c>
      <c r="B205" s="20" t="inlineStr">
        <is>
          <t>Guild Program</t>
        </is>
      </c>
      <c r="C205" s="25" t="n">
        <v>7</v>
      </c>
      <c r="D205" s="25">
        <f>VLOOKUP(B205,Upgrade_Params!$A$4:$K$23,3,FALSE)</f>
        <v/>
      </c>
      <c r="E205" s="17">
        <f>ROUND(VLOOKUP(B205,Upgrade_Params!$A$4:$K$23,4,FALSE)*VLOOKUP(B205,Upgrade_Params!$A$4:$K$23,5,FALSE)^(C205-1),0)</f>
        <v/>
      </c>
      <c r="F205" s="17">
        <f>ROUND(VLOOKUP(B205,Upgrade_Params!$A$4:$K$23,6,FALSE)*VLOOKUP(B205,Upgrade_Params!$A$4:$K$23,7,FALSE)^(C205-1),0)</f>
        <v/>
      </c>
      <c r="G205" s="17">
        <f>SUMIFS($F$4:F205,$B$4:B205,B205)</f>
        <v/>
      </c>
      <c r="H205" s="19">
        <f>IFERROR(E205/F205,0)</f>
        <v/>
      </c>
      <c r="I205" s="20">
        <f>VLOOKUP(B205,Upgrade_Params!$A$4:$K$23,9,FALSE)</f>
        <v/>
      </c>
      <c r="J205" s="20">
        <f>VLOOKUP(B205,Upgrade_Params!$A$4:$K$23,10,FALSE)</f>
        <v/>
      </c>
      <c r="K205" s="26">
        <f>IF(D205&lt;=6,"Starter",IF(D205&lt;=15,"Midgame",IF(D205&lt;=28,"Late Midgame","Endgame")))</f>
        <v/>
      </c>
      <c r="L205" s="18">
        <f>IFERROR(F205/E205*1000,0)</f>
        <v/>
      </c>
    </row>
    <row r="206">
      <c r="A206" s="25">
        <f>VLOOKUP(B206,Upgrade_Params!$A$4:$K$23,2,FALSE)</f>
        <v/>
      </c>
      <c r="B206" s="20" t="inlineStr">
        <is>
          <t>Guild Program</t>
        </is>
      </c>
      <c r="C206" s="25" t="n">
        <v>8</v>
      </c>
      <c r="D206" s="25">
        <f>VLOOKUP(B206,Upgrade_Params!$A$4:$K$23,3,FALSE)</f>
        <v/>
      </c>
      <c r="E206" s="17">
        <f>ROUND(VLOOKUP(B206,Upgrade_Params!$A$4:$K$23,4,FALSE)*VLOOKUP(B206,Upgrade_Params!$A$4:$K$23,5,FALSE)^(C206-1),0)</f>
        <v/>
      </c>
      <c r="F206" s="17">
        <f>ROUND(VLOOKUP(B206,Upgrade_Params!$A$4:$K$23,6,FALSE)*VLOOKUP(B206,Upgrade_Params!$A$4:$K$23,7,FALSE)^(C206-1),0)</f>
        <v/>
      </c>
      <c r="G206" s="17">
        <f>SUMIFS($F$4:F206,$B$4:B206,B206)</f>
        <v/>
      </c>
      <c r="H206" s="19">
        <f>IFERROR(E206/F206,0)</f>
        <v/>
      </c>
      <c r="I206" s="20">
        <f>VLOOKUP(B206,Upgrade_Params!$A$4:$K$23,9,FALSE)</f>
        <v/>
      </c>
      <c r="J206" s="20">
        <f>VLOOKUP(B206,Upgrade_Params!$A$4:$K$23,10,FALSE)</f>
        <v/>
      </c>
      <c r="K206" s="26">
        <f>IF(D206&lt;=6,"Starter",IF(D206&lt;=15,"Midgame",IF(D206&lt;=28,"Late Midgame","Endgame")))</f>
        <v/>
      </c>
      <c r="L206" s="18">
        <f>IFERROR(F206/E206*1000,0)</f>
        <v/>
      </c>
    </row>
    <row r="207">
      <c r="A207" s="25">
        <f>VLOOKUP(B207,Upgrade_Params!$A$4:$K$23,2,FALSE)</f>
        <v/>
      </c>
      <c r="B207" s="20" t="inlineStr">
        <is>
          <t>Guild Program</t>
        </is>
      </c>
      <c r="C207" s="25" t="n">
        <v>9</v>
      </c>
      <c r="D207" s="25">
        <f>VLOOKUP(B207,Upgrade_Params!$A$4:$K$23,3,FALSE)</f>
        <v/>
      </c>
      <c r="E207" s="17">
        <f>ROUND(VLOOKUP(B207,Upgrade_Params!$A$4:$K$23,4,FALSE)*VLOOKUP(B207,Upgrade_Params!$A$4:$K$23,5,FALSE)^(C207-1),0)</f>
        <v/>
      </c>
      <c r="F207" s="17">
        <f>ROUND(VLOOKUP(B207,Upgrade_Params!$A$4:$K$23,6,FALSE)*VLOOKUP(B207,Upgrade_Params!$A$4:$K$23,7,FALSE)^(C207-1),0)</f>
        <v/>
      </c>
      <c r="G207" s="17">
        <f>SUMIFS($F$4:F207,$B$4:B207,B207)</f>
        <v/>
      </c>
      <c r="H207" s="19">
        <f>IFERROR(E207/F207,0)</f>
        <v/>
      </c>
      <c r="I207" s="20">
        <f>VLOOKUP(B207,Upgrade_Params!$A$4:$K$23,9,FALSE)</f>
        <v/>
      </c>
      <c r="J207" s="20">
        <f>VLOOKUP(B207,Upgrade_Params!$A$4:$K$23,10,FALSE)</f>
        <v/>
      </c>
      <c r="K207" s="26">
        <f>IF(D207&lt;=6,"Starter",IF(D207&lt;=15,"Midgame",IF(D207&lt;=28,"Late Midgame","Endgame")))</f>
        <v/>
      </c>
      <c r="L207" s="18">
        <f>IFERROR(F207/E207*1000,0)</f>
        <v/>
      </c>
    </row>
    <row r="208">
      <c r="A208" s="25">
        <f>VLOOKUP(B208,Upgrade_Params!$A$4:$K$23,2,FALSE)</f>
        <v/>
      </c>
      <c r="B208" s="20" t="inlineStr">
        <is>
          <t>Guild Program</t>
        </is>
      </c>
      <c r="C208" s="25" t="n">
        <v>10</v>
      </c>
      <c r="D208" s="25">
        <f>VLOOKUP(B208,Upgrade_Params!$A$4:$K$23,3,FALSE)</f>
        <v/>
      </c>
      <c r="E208" s="17">
        <f>ROUND(VLOOKUP(B208,Upgrade_Params!$A$4:$K$23,4,FALSE)*VLOOKUP(B208,Upgrade_Params!$A$4:$K$23,5,FALSE)^(C208-1),0)</f>
        <v/>
      </c>
      <c r="F208" s="17">
        <f>ROUND(VLOOKUP(B208,Upgrade_Params!$A$4:$K$23,6,FALSE)*VLOOKUP(B208,Upgrade_Params!$A$4:$K$23,7,FALSE)^(C208-1),0)</f>
        <v/>
      </c>
      <c r="G208" s="17">
        <f>SUMIFS($F$4:F208,$B$4:B208,B208)</f>
        <v/>
      </c>
      <c r="H208" s="19">
        <f>IFERROR(E208/F208,0)</f>
        <v/>
      </c>
      <c r="I208" s="20">
        <f>VLOOKUP(B208,Upgrade_Params!$A$4:$K$23,9,FALSE)</f>
        <v/>
      </c>
      <c r="J208" s="20">
        <f>VLOOKUP(B208,Upgrade_Params!$A$4:$K$23,10,FALSE)</f>
        <v/>
      </c>
      <c r="K208" s="26">
        <f>IF(D208&lt;=6,"Starter",IF(D208&lt;=15,"Midgame",IF(D208&lt;=28,"Late Midgame","Endgame")))</f>
        <v/>
      </c>
      <c r="L208" s="18">
        <f>IFERROR(F208/E208*1000,0)</f>
        <v/>
      </c>
    </row>
    <row r="209">
      <c r="A209" s="25">
        <f>VLOOKUP(B209,Upgrade_Params!$A$4:$K$23,2,FALSE)</f>
        <v/>
      </c>
      <c r="B209" s="20" t="inlineStr">
        <is>
          <t>Guild Program</t>
        </is>
      </c>
      <c r="C209" s="25" t="n">
        <v>11</v>
      </c>
      <c r="D209" s="25">
        <f>VLOOKUP(B209,Upgrade_Params!$A$4:$K$23,3,FALSE)</f>
        <v/>
      </c>
      <c r="E209" s="17">
        <f>ROUND(VLOOKUP(B209,Upgrade_Params!$A$4:$K$23,4,FALSE)*VLOOKUP(B209,Upgrade_Params!$A$4:$K$23,5,FALSE)^(C209-1),0)</f>
        <v/>
      </c>
      <c r="F209" s="17">
        <f>ROUND(VLOOKUP(B209,Upgrade_Params!$A$4:$K$23,6,FALSE)*VLOOKUP(B209,Upgrade_Params!$A$4:$K$23,7,FALSE)^(C209-1),0)</f>
        <v/>
      </c>
      <c r="G209" s="17">
        <f>SUMIFS($F$4:F209,$B$4:B209,B209)</f>
        <v/>
      </c>
      <c r="H209" s="19">
        <f>IFERROR(E209/F209,0)</f>
        <v/>
      </c>
      <c r="I209" s="20">
        <f>VLOOKUP(B209,Upgrade_Params!$A$4:$K$23,9,FALSE)</f>
        <v/>
      </c>
      <c r="J209" s="20">
        <f>VLOOKUP(B209,Upgrade_Params!$A$4:$K$23,10,FALSE)</f>
        <v/>
      </c>
      <c r="K209" s="26">
        <f>IF(D209&lt;=6,"Starter",IF(D209&lt;=15,"Midgame",IF(D209&lt;=28,"Late Midgame","Endgame")))</f>
        <v/>
      </c>
      <c r="L209" s="18">
        <f>IFERROR(F209/E209*1000,0)</f>
        <v/>
      </c>
    </row>
    <row r="210">
      <c r="A210" s="25">
        <f>VLOOKUP(B210,Upgrade_Params!$A$4:$K$23,2,FALSE)</f>
        <v/>
      </c>
      <c r="B210" s="20" t="inlineStr">
        <is>
          <t>Guild Program</t>
        </is>
      </c>
      <c r="C210" s="25" t="n">
        <v>12</v>
      </c>
      <c r="D210" s="25">
        <f>VLOOKUP(B210,Upgrade_Params!$A$4:$K$23,3,FALSE)</f>
        <v/>
      </c>
      <c r="E210" s="17">
        <f>ROUND(VLOOKUP(B210,Upgrade_Params!$A$4:$K$23,4,FALSE)*VLOOKUP(B210,Upgrade_Params!$A$4:$K$23,5,FALSE)^(C210-1),0)</f>
        <v/>
      </c>
      <c r="F210" s="17">
        <f>ROUND(VLOOKUP(B210,Upgrade_Params!$A$4:$K$23,6,FALSE)*VLOOKUP(B210,Upgrade_Params!$A$4:$K$23,7,FALSE)^(C210-1),0)</f>
        <v/>
      </c>
      <c r="G210" s="17">
        <f>SUMIFS($F$4:F210,$B$4:B210,B210)</f>
        <v/>
      </c>
      <c r="H210" s="19">
        <f>IFERROR(E210/F210,0)</f>
        <v/>
      </c>
      <c r="I210" s="20">
        <f>VLOOKUP(B210,Upgrade_Params!$A$4:$K$23,9,FALSE)</f>
        <v/>
      </c>
      <c r="J210" s="20">
        <f>VLOOKUP(B210,Upgrade_Params!$A$4:$K$23,10,FALSE)</f>
        <v/>
      </c>
      <c r="K210" s="26">
        <f>IF(D210&lt;=6,"Starter",IF(D210&lt;=15,"Midgame",IF(D210&lt;=28,"Late Midgame","Endgame")))</f>
        <v/>
      </c>
      <c r="L210" s="18">
        <f>IFERROR(F210/E210*1000,0)</f>
        <v/>
      </c>
    </row>
    <row r="211">
      <c r="A211" s="25">
        <f>VLOOKUP(B211,Upgrade_Params!$A$4:$K$23,2,FALSE)</f>
        <v/>
      </c>
      <c r="B211" s="20" t="inlineStr">
        <is>
          <t>Guild Program</t>
        </is>
      </c>
      <c r="C211" s="25" t="n">
        <v>13</v>
      </c>
      <c r="D211" s="25">
        <f>VLOOKUP(B211,Upgrade_Params!$A$4:$K$23,3,FALSE)</f>
        <v/>
      </c>
      <c r="E211" s="17">
        <f>ROUND(VLOOKUP(B211,Upgrade_Params!$A$4:$K$23,4,FALSE)*VLOOKUP(B211,Upgrade_Params!$A$4:$K$23,5,FALSE)^(C211-1),0)</f>
        <v/>
      </c>
      <c r="F211" s="17">
        <f>ROUND(VLOOKUP(B211,Upgrade_Params!$A$4:$K$23,6,FALSE)*VLOOKUP(B211,Upgrade_Params!$A$4:$K$23,7,FALSE)^(C211-1),0)</f>
        <v/>
      </c>
      <c r="G211" s="17">
        <f>SUMIFS($F$4:F211,$B$4:B211,B211)</f>
        <v/>
      </c>
      <c r="H211" s="19">
        <f>IFERROR(E211/F211,0)</f>
        <v/>
      </c>
      <c r="I211" s="20">
        <f>VLOOKUP(B211,Upgrade_Params!$A$4:$K$23,9,FALSE)</f>
        <v/>
      </c>
      <c r="J211" s="20">
        <f>VLOOKUP(B211,Upgrade_Params!$A$4:$K$23,10,FALSE)</f>
        <v/>
      </c>
      <c r="K211" s="26">
        <f>IF(D211&lt;=6,"Starter",IF(D211&lt;=15,"Midgame",IF(D211&lt;=28,"Late Midgame","Endgame")))</f>
        <v/>
      </c>
      <c r="L211" s="18">
        <f>IFERROR(F211/E211*1000,0)</f>
        <v/>
      </c>
    </row>
    <row r="212">
      <c r="A212" s="25">
        <f>VLOOKUP(B212,Upgrade_Params!$A$4:$K$23,2,FALSE)</f>
        <v/>
      </c>
      <c r="B212" s="20" t="inlineStr">
        <is>
          <t>Guild Program</t>
        </is>
      </c>
      <c r="C212" s="25" t="n">
        <v>14</v>
      </c>
      <c r="D212" s="25">
        <f>VLOOKUP(B212,Upgrade_Params!$A$4:$K$23,3,FALSE)</f>
        <v/>
      </c>
      <c r="E212" s="17">
        <f>ROUND(VLOOKUP(B212,Upgrade_Params!$A$4:$K$23,4,FALSE)*VLOOKUP(B212,Upgrade_Params!$A$4:$K$23,5,FALSE)^(C212-1),0)</f>
        <v/>
      </c>
      <c r="F212" s="17">
        <f>ROUND(VLOOKUP(B212,Upgrade_Params!$A$4:$K$23,6,FALSE)*VLOOKUP(B212,Upgrade_Params!$A$4:$K$23,7,FALSE)^(C212-1),0)</f>
        <v/>
      </c>
      <c r="G212" s="17">
        <f>SUMIFS($F$4:F212,$B$4:B212,B212)</f>
        <v/>
      </c>
      <c r="H212" s="19">
        <f>IFERROR(E212/F212,0)</f>
        <v/>
      </c>
      <c r="I212" s="20">
        <f>VLOOKUP(B212,Upgrade_Params!$A$4:$K$23,9,FALSE)</f>
        <v/>
      </c>
      <c r="J212" s="20">
        <f>VLOOKUP(B212,Upgrade_Params!$A$4:$K$23,10,FALSE)</f>
        <v/>
      </c>
      <c r="K212" s="26">
        <f>IF(D212&lt;=6,"Starter",IF(D212&lt;=15,"Midgame",IF(D212&lt;=28,"Late Midgame","Endgame")))</f>
        <v/>
      </c>
      <c r="L212" s="18">
        <f>IFERROR(F212/E212*1000,0)</f>
        <v/>
      </c>
    </row>
    <row r="213">
      <c r="A213" s="25">
        <f>VLOOKUP(B213,Upgrade_Params!$A$4:$K$23,2,FALSE)</f>
        <v/>
      </c>
      <c r="B213" s="20" t="inlineStr">
        <is>
          <t>Guild Program</t>
        </is>
      </c>
      <c r="C213" s="25" t="n">
        <v>15</v>
      </c>
      <c r="D213" s="25">
        <f>VLOOKUP(B213,Upgrade_Params!$A$4:$K$23,3,FALSE)</f>
        <v/>
      </c>
      <c r="E213" s="17">
        <f>ROUND(VLOOKUP(B213,Upgrade_Params!$A$4:$K$23,4,FALSE)*VLOOKUP(B213,Upgrade_Params!$A$4:$K$23,5,FALSE)^(C213-1),0)</f>
        <v/>
      </c>
      <c r="F213" s="17">
        <f>ROUND(VLOOKUP(B213,Upgrade_Params!$A$4:$K$23,6,FALSE)*VLOOKUP(B213,Upgrade_Params!$A$4:$K$23,7,FALSE)^(C213-1),0)</f>
        <v/>
      </c>
      <c r="G213" s="17">
        <f>SUMIFS($F$4:F213,$B$4:B213,B213)</f>
        <v/>
      </c>
      <c r="H213" s="19">
        <f>IFERROR(E213/F213,0)</f>
        <v/>
      </c>
      <c r="I213" s="20">
        <f>VLOOKUP(B213,Upgrade_Params!$A$4:$K$23,9,FALSE)</f>
        <v/>
      </c>
      <c r="J213" s="20">
        <f>VLOOKUP(B213,Upgrade_Params!$A$4:$K$23,10,FALSE)</f>
        <v/>
      </c>
      <c r="K213" s="26">
        <f>IF(D213&lt;=6,"Starter",IF(D213&lt;=15,"Midgame",IF(D213&lt;=28,"Late Midgame","Endgame")))</f>
        <v/>
      </c>
      <c r="L213" s="18">
        <f>IFERROR(F213/E213*1000,0)</f>
        <v/>
      </c>
    </row>
    <row r="214">
      <c r="A214" s="25">
        <f>VLOOKUP(B214,Upgrade_Params!$A$4:$K$23,2,FALSE)</f>
        <v/>
      </c>
      <c r="B214" s="20" t="inlineStr">
        <is>
          <t>Risk Oracle</t>
        </is>
      </c>
      <c r="C214" s="25" t="n">
        <v>1</v>
      </c>
      <c r="D214" s="25">
        <f>VLOOKUP(B214,Upgrade_Params!$A$4:$K$23,3,FALSE)</f>
        <v/>
      </c>
      <c r="E214" s="17">
        <f>ROUND(VLOOKUP(B214,Upgrade_Params!$A$4:$K$23,4,FALSE)*VLOOKUP(B214,Upgrade_Params!$A$4:$K$23,5,FALSE)^(C214-1),0)</f>
        <v/>
      </c>
      <c r="F214" s="17">
        <f>ROUND(VLOOKUP(B214,Upgrade_Params!$A$4:$K$23,6,FALSE)*VLOOKUP(B214,Upgrade_Params!$A$4:$K$23,7,FALSE)^(C214-1),0)</f>
        <v/>
      </c>
      <c r="G214" s="17">
        <f>SUMIFS($F$4:F214,$B$4:B214,B214)</f>
        <v/>
      </c>
      <c r="H214" s="19">
        <f>IFERROR(E214/F214,0)</f>
        <v/>
      </c>
      <c r="I214" s="20">
        <f>VLOOKUP(B214,Upgrade_Params!$A$4:$K$23,9,FALSE)</f>
        <v/>
      </c>
      <c r="J214" s="20">
        <f>VLOOKUP(B214,Upgrade_Params!$A$4:$K$23,10,FALSE)</f>
        <v/>
      </c>
      <c r="K214" s="26">
        <f>IF(D214&lt;=6,"Starter",IF(D214&lt;=15,"Midgame",IF(D214&lt;=28,"Late Midgame","Endgame")))</f>
        <v/>
      </c>
      <c r="L214" s="18">
        <f>IFERROR(F214/E214*1000,0)</f>
        <v/>
      </c>
    </row>
    <row r="215">
      <c r="A215" s="25">
        <f>VLOOKUP(B215,Upgrade_Params!$A$4:$K$23,2,FALSE)</f>
        <v/>
      </c>
      <c r="B215" s="20" t="inlineStr">
        <is>
          <t>Risk Oracle</t>
        </is>
      </c>
      <c r="C215" s="25" t="n">
        <v>2</v>
      </c>
      <c r="D215" s="25">
        <f>VLOOKUP(B215,Upgrade_Params!$A$4:$K$23,3,FALSE)</f>
        <v/>
      </c>
      <c r="E215" s="17">
        <f>ROUND(VLOOKUP(B215,Upgrade_Params!$A$4:$K$23,4,FALSE)*VLOOKUP(B215,Upgrade_Params!$A$4:$K$23,5,FALSE)^(C215-1),0)</f>
        <v/>
      </c>
      <c r="F215" s="17">
        <f>ROUND(VLOOKUP(B215,Upgrade_Params!$A$4:$K$23,6,FALSE)*VLOOKUP(B215,Upgrade_Params!$A$4:$K$23,7,FALSE)^(C215-1),0)</f>
        <v/>
      </c>
      <c r="G215" s="17">
        <f>SUMIFS($F$4:F215,$B$4:B215,B215)</f>
        <v/>
      </c>
      <c r="H215" s="19">
        <f>IFERROR(E215/F215,0)</f>
        <v/>
      </c>
      <c r="I215" s="20">
        <f>VLOOKUP(B215,Upgrade_Params!$A$4:$K$23,9,FALSE)</f>
        <v/>
      </c>
      <c r="J215" s="20">
        <f>VLOOKUP(B215,Upgrade_Params!$A$4:$K$23,10,FALSE)</f>
        <v/>
      </c>
      <c r="K215" s="26">
        <f>IF(D215&lt;=6,"Starter",IF(D215&lt;=15,"Midgame",IF(D215&lt;=28,"Late Midgame","Endgame")))</f>
        <v/>
      </c>
      <c r="L215" s="18">
        <f>IFERROR(F215/E215*1000,0)</f>
        <v/>
      </c>
    </row>
    <row r="216">
      <c r="A216" s="25">
        <f>VLOOKUP(B216,Upgrade_Params!$A$4:$K$23,2,FALSE)</f>
        <v/>
      </c>
      <c r="B216" s="20" t="inlineStr">
        <is>
          <t>Risk Oracle</t>
        </is>
      </c>
      <c r="C216" s="25" t="n">
        <v>3</v>
      </c>
      <c r="D216" s="25">
        <f>VLOOKUP(B216,Upgrade_Params!$A$4:$K$23,3,FALSE)</f>
        <v/>
      </c>
      <c r="E216" s="17">
        <f>ROUND(VLOOKUP(B216,Upgrade_Params!$A$4:$K$23,4,FALSE)*VLOOKUP(B216,Upgrade_Params!$A$4:$K$23,5,FALSE)^(C216-1),0)</f>
        <v/>
      </c>
      <c r="F216" s="17">
        <f>ROUND(VLOOKUP(B216,Upgrade_Params!$A$4:$K$23,6,FALSE)*VLOOKUP(B216,Upgrade_Params!$A$4:$K$23,7,FALSE)^(C216-1),0)</f>
        <v/>
      </c>
      <c r="G216" s="17">
        <f>SUMIFS($F$4:F216,$B$4:B216,B216)</f>
        <v/>
      </c>
      <c r="H216" s="19">
        <f>IFERROR(E216/F216,0)</f>
        <v/>
      </c>
      <c r="I216" s="20">
        <f>VLOOKUP(B216,Upgrade_Params!$A$4:$K$23,9,FALSE)</f>
        <v/>
      </c>
      <c r="J216" s="20">
        <f>VLOOKUP(B216,Upgrade_Params!$A$4:$K$23,10,FALSE)</f>
        <v/>
      </c>
      <c r="K216" s="26">
        <f>IF(D216&lt;=6,"Starter",IF(D216&lt;=15,"Midgame",IF(D216&lt;=28,"Late Midgame","Endgame")))</f>
        <v/>
      </c>
      <c r="L216" s="18">
        <f>IFERROR(F216/E216*1000,0)</f>
        <v/>
      </c>
    </row>
    <row r="217">
      <c r="A217" s="25">
        <f>VLOOKUP(B217,Upgrade_Params!$A$4:$K$23,2,FALSE)</f>
        <v/>
      </c>
      <c r="B217" s="20" t="inlineStr">
        <is>
          <t>Risk Oracle</t>
        </is>
      </c>
      <c r="C217" s="25" t="n">
        <v>4</v>
      </c>
      <c r="D217" s="25">
        <f>VLOOKUP(B217,Upgrade_Params!$A$4:$K$23,3,FALSE)</f>
        <v/>
      </c>
      <c r="E217" s="17">
        <f>ROUND(VLOOKUP(B217,Upgrade_Params!$A$4:$K$23,4,FALSE)*VLOOKUP(B217,Upgrade_Params!$A$4:$K$23,5,FALSE)^(C217-1),0)</f>
        <v/>
      </c>
      <c r="F217" s="17">
        <f>ROUND(VLOOKUP(B217,Upgrade_Params!$A$4:$K$23,6,FALSE)*VLOOKUP(B217,Upgrade_Params!$A$4:$K$23,7,FALSE)^(C217-1),0)</f>
        <v/>
      </c>
      <c r="G217" s="17">
        <f>SUMIFS($F$4:F217,$B$4:B217,B217)</f>
        <v/>
      </c>
      <c r="H217" s="19">
        <f>IFERROR(E217/F217,0)</f>
        <v/>
      </c>
      <c r="I217" s="20">
        <f>VLOOKUP(B217,Upgrade_Params!$A$4:$K$23,9,FALSE)</f>
        <v/>
      </c>
      <c r="J217" s="20">
        <f>VLOOKUP(B217,Upgrade_Params!$A$4:$K$23,10,FALSE)</f>
        <v/>
      </c>
      <c r="K217" s="26">
        <f>IF(D217&lt;=6,"Starter",IF(D217&lt;=15,"Midgame",IF(D217&lt;=28,"Late Midgame","Endgame")))</f>
        <v/>
      </c>
      <c r="L217" s="18">
        <f>IFERROR(F217/E217*1000,0)</f>
        <v/>
      </c>
    </row>
    <row r="218">
      <c r="A218" s="25">
        <f>VLOOKUP(B218,Upgrade_Params!$A$4:$K$23,2,FALSE)</f>
        <v/>
      </c>
      <c r="B218" s="20" t="inlineStr">
        <is>
          <t>Risk Oracle</t>
        </is>
      </c>
      <c r="C218" s="25" t="n">
        <v>5</v>
      </c>
      <c r="D218" s="25">
        <f>VLOOKUP(B218,Upgrade_Params!$A$4:$K$23,3,FALSE)</f>
        <v/>
      </c>
      <c r="E218" s="17">
        <f>ROUND(VLOOKUP(B218,Upgrade_Params!$A$4:$K$23,4,FALSE)*VLOOKUP(B218,Upgrade_Params!$A$4:$K$23,5,FALSE)^(C218-1),0)</f>
        <v/>
      </c>
      <c r="F218" s="17">
        <f>ROUND(VLOOKUP(B218,Upgrade_Params!$A$4:$K$23,6,FALSE)*VLOOKUP(B218,Upgrade_Params!$A$4:$K$23,7,FALSE)^(C218-1),0)</f>
        <v/>
      </c>
      <c r="G218" s="17">
        <f>SUMIFS($F$4:F218,$B$4:B218,B218)</f>
        <v/>
      </c>
      <c r="H218" s="19">
        <f>IFERROR(E218/F218,0)</f>
        <v/>
      </c>
      <c r="I218" s="20">
        <f>VLOOKUP(B218,Upgrade_Params!$A$4:$K$23,9,FALSE)</f>
        <v/>
      </c>
      <c r="J218" s="20">
        <f>VLOOKUP(B218,Upgrade_Params!$A$4:$K$23,10,FALSE)</f>
        <v/>
      </c>
      <c r="K218" s="26">
        <f>IF(D218&lt;=6,"Starter",IF(D218&lt;=15,"Midgame",IF(D218&lt;=28,"Late Midgame","Endgame")))</f>
        <v/>
      </c>
      <c r="L218" s="18">
        <f>IFERROR(F218/E218*1000,0)</f>
        <v/>
      </c>
    </row>
    <row r="219">
      <c r="A219" s="25">
        <f>VLOOKUP(B219,Upgrade_Params!$A$4:$K$23,2,FALSE)</f>
        <v/>
      </c>
      <c r="B219" s="20" t="inlineStr">
        <is>
          <t>Risk Oracle</t>
        </is>
      </c>
      <c r="C219" s="25" t="n">
        <v>6</v>
      </c>
      <c r="D219" s="25">
        <f>VLOOKUP(B219,Upgrade_Params!$A$4:$K$23,3,FALSE)</f>
        <v/>
      </c>
      <c r="E219" s="17">
        <f>ROUND(VLOOKUP(B219,Upgrade_Params!$A$4:$K$23,4,FALSE)*VLOOKUP(B219,Upgrade_Params!$A$4:$K$23,5,FALSE)^(C219-1),0)</f>
        <v/>
      </c>
      <c r="F219" s="17">
        <f>ROUND(VLOOKUP(B219,Upgrade_Params!$A$4:$K$23,6,FALSE)*VLOOKUP(B219,Upgrade_Params!$A$4:$K$23,7,FALSE)^(C219-1),0)</f>
        <v/>
      </c>
      <c r="G219" s="17">
        <f>SUMIFS($F$4:F219,$B$4:B219,B219)</f>
        <v/>
      </c>
      <c r="H219" s="19">
        <f>IFERROR(E219/F219,0)</f>
        <v/>
      </c>
      <c r="I219" s="20">
        <f>VLOOKUP(B219,Upgrade_Params!$A$4:$K$23,9,FALSE)</f>
        <v/>
      </c>
      <c r="J219" s="20">
        <f>VLOOKUP(B219,Upgrade_Params!$A$4:$K$23,10,FALSE)</f>
        <v/>
      </c>
      <c r="K219" s="26">
        <f>IF(D219&lt;=6,"Starter",IF(D219&lt;=15,"Midgame",IF(D219&lt;=28,"Late Midgame","Endgame")))</f>
        <v/>
      </c>
      <c r="L219" s="18">
        <f>IFERROR(F219/E219*1000,0)</f>
        <v/>
      </c>
    </row>
    <row r="220">
      <c r="A220" s="25">
        <f>VLOOKUP(B220,Upgrade_Params!$A$4:$K$23,2,FALSE)</f>
        <v/>
      </c>
      <c r="B220" s="20" t="inlineStr">
        <is>
          <t>Risk Oracle</t>
        </is>
      </c>
      <c r="C220" s="25" t="n">
        <v>7</v>
      </c>
      <c r="D220" s="25">
        <f>VLOOKUP(B220,Upgrade_Params!$A$4:$K$23,3,FALSE)</f>
        <v/>
      </c>
      <c r="E220" s="17">
        <f>ROUND(VLOOKUP(B220,Upgrade_Params!$A$4:$K$23,4,FALSE)*VLOOKUP(B220,Upgrade_Params!$A$4:$K$23,5,FALSE)^(C220-1),0)</f>
        <v/>
      </c>
      <c r="F220" s="17">
        <f>ROUND(VLOOKUP(B220,Upgrade_Params!$A$4:$K$23,6,FALSE)*VLOOKUP(B220,Upgrade_Params!$A$4:$K$23,7,FALSE)^(C220-1),0)</f>
        <v/>
      </c>
      <c r="G220" s="17">
        <f>SUMIFS($F$4:F220,$B$4:B220,B220)</f>
        <v/>
      </c>
      <c r="H220" s="19">
        <f>IFERROR(E220/F220,0)</f>
        <v/>
      </c>
      <c r="I220" s="20">
        <f>VLOOKUP(B220,Upgrade_Params!$A$4:$K$23,9,FALSE)</f>
        <v/>
      </c>
      <c r="J220" s="20">
        <f>VLOOKUP(B220,Upgrade_Params!$A$4:$K$23,10,FALSE)</f>
        <v/>
      </c>
      <c r="K220" s="26">
        <f>IF(D220&lt;=6,"Starter",IF(D220&lt;=15,"Midgame",IF(D220&lt;=28,"Late Midgame","Endgame")))</f>
        <v/>
      </c>
      <c r="L220" s="18">
        <f>IFERROR(F220/E220*1000,0)</f>
        <v/>
      </c>
    </row>
    <row r="221">
      <c r="A221" s="25">
        <f>VLOOKUP(B221,Upgrade_Params!$A$4:$K$23,2,FALSE)</f>
        <v/>
      </c>
      <c r="B221" s="20" t="inlineStr">
        <is>
          <t>Risk Oracle</t>
        </is>
      </c>
      <c r="C221" s="25" t="n">
        <v>8</v>
      </c>
      <c r="D221" s="25">
        <f>VLOOKUP(B221,Upgrade_Params!$A$4:$K$23,3,FALSE)</f>
        <v/>
      </c>
      <c r="E221" s="17">
        <f>ROUND(VLOOKUP(B221,Upgrade_Params!$A$4:$K$23,4,FALSE)*VLOOKUP(B221,Upgrade_Params!$A$4:$K$23,5,FALSE)^(C221-1),0)</f>
        <v/>
      </c>
      <c r="F221" s="17">
        <f>ROUND(VLOOKUP(B221,Upgrade_Params!$A$4:$K$23,6,FALSE)*VLOOKUP(B221,Upgrade_Params!$A$4:$K$23,7,FALSE)^(C221-1),0)</f>
        <v/>
      </c>
      <c r="G221" s="17">
        <f>SUMIFS($F$4:F221,$B$4:B221,B221)</f>
        <v/>
      </c>
      <c r="H221" s="19">
        <f>IFERROR(E221/F221,0)</f>
        <v/>
      </c>
      <c r="I221" s="20">
        <f>VLOOKUP(B221,Upgrade_Params!$A$4:$K$23,9,FALSE)</f>
        <v/>
      </c>
      <c r="J221" s="20">
        <f>VLOOKUP(B221,Upgrade_Params!$A$4:$K$23,10,FALSE)</f>
        <v/>
      </c>
      <c r="K221" s="26">
        <f>IF(D221&lt;=6,"Starter",IF(D221&lt;=15,"Midgame",IF(D221&lt;=28,"Late Midgame","Endgame")))</f>
        <v/>
      </c>
      <c r="L221" s="18">
        <f>IFERROR(F221/E221*1000,0)</f>
        <v/>
      </c>
    </row>
    <row r="222">
      <c r="A222" s="25">
        <f>VLOOKUP(B222,Upgrade_Params!$A$4:$K$23,2,FALSE)</f>
        <v/>
      </c>
      <c r="B222" s="20" t="inlineStr">
        <is>
          <t>Risk Oracle</t>
        </is>
      </c>
      <c r="C222" s="25" t="n">
        <v>9</v>
      </c>
      <c r="D222" s="25">
        <f>VLOOKUP(B222,Upgrade_Params!$A$4:$K$23,3,FALSE)</f>
        <v/>
      </c>
      <c r="E222" s="17">
        <f>ROUND(VLOOKUP(B222,Upgrade_Params!$A$4:$K$23,4,FALSE)*VLOOKUP(B222,Upgrade_Params!$A$4:$K$23,5,FALSE)^(C222-1),0)</f>
        <v/>
      </c>
      <c r="F222" s="17">
        <f>ROUND(VLOOKUP(B222,Upgrade_Params!$A$4:$K$23,6,FALSE)*VLOOKUP(B222,Upgrade_Params!$A$4:$K$23,7,FALSE)^(C222-1),0)</f>
        <v/>
      </c>
      <c r="G222" s="17">
        <f>SUMIFS($F$4:F222,$B$4:B222,B222)</f>
        <v/>
      </c>
      <c r="H222" s="19">
        <f>IFERROR(E222/F222,0)</f>
        <v/>
      </c>
      <c r="I222" s="20">
        <f>VLOOKUP(B222,Upgrade_Params!$A$4:$K$23,9,FALSE)</f>
        <v/>
      </c>
      <c r="J222" s="20">
        <f>VLOOKUP(B222,Upgrade_Params!$A$4:$K$23,10,FALSE)</f>
        <v/>
      </c>
      <c r="K222" s="26">
        <f>IF(D222&lt;=6,"Starter",IF(D222&lt;=15,"Midgame",IF(D222&lt;=28,"Late Midgame","Endgame")))</f>
        <v/>
      </c>
      <c r="L222" s="18">
        <f>IFERROR(F222/E222*1000,0)</f>
        <v/>
      </c>
    </row>
    <row r="223">
      <c r="A223" s="25">
        <f>VLOOKUP(B223,Upgrade_Params!$A$4:$K$23,2,FALSE)</f>
        <v/>
      </c>
      <c r="B223" s="20" t="inlineStr">
        <is>
          <t>Risk Oracle</t>
        </is>
      </c>
      <c r="C223" s="25" t="n">
        <v>10</v>
      </c>
      <c r="D223" s="25">
        <f>VLOOKUP(B223,Upgrade_Params!$A$4:$K$23,3,FALSE)</f>
        <v/>
      </c>
      <c r="E223" s="17">
        <f>ROUND(VLOOKUP(B223,Upgrade_Params!$A$4:$K$23,4,FALSE)*VLOOKUP(B223,Upgrade_Params!$A$4:$K$23,5,FALSE)^(C223-1),0)</f>
        <v/>
      </c>
      <c r="F223" s="17">
        <f>ROUND(VLOOKUP(B223,Upgrade_Params!$A$4:$K$23,6,FALSE)*VLOOKUP(B223,Upgrade_Params!$A$4:$K$23,7,FALSE)^(C223-1),0)</f>
        <v/>
      </c>
      <c r="G223" s="17">
        <f>SUMIFS($F$4:F223,$B$4:B223,B223)</f>
        <v/>
      </c>
      <c r="H223" s="19">
        <f>IFERROR(E223/F223,0)</f>
        <v/>
      </c>
      <c r="I223" s="20">
        <f>VLOOKUP(B223,Upgrade_Params!$A$4:$K$23,9,FALSE)</f>
        <v/>
      </c>
      <c r="J223" s="20">
        <f>VLOOKUP(B223,Upgrade_Params!$A$4:$K$23,10,FALSE)</f>
        <v/>
      </c>
      <c r="K223" s="26">
        <f>IF(D223&lt;=6,"Starter",IF(D223&lt;=15,"Midgame",IF(D223&lt;=28,"Late Midgame","Endgame")))</f>
        <v/>
      </c>
      <c r="L223" s="18">
        <f>IFERROR(F223/E223*1000,0)</f>
        <v/>
      </c>
    </row>
    <row r="224">
      <c r="A224" s="25">
        <f>VLOOKUP(B224,Upgrade_Params!$A$4:$K$23,2,FALSE)</f>
        <v/>
      </c>
      <c r="B224" s="20" t="inlineStr">
        <is>
          <t>Risk Oracle</t>
        </is>
      </c>
      <c r="C224" s="25" t="n">
        <v>11</v>
      </c>
      <c r="D224" s="25">
        <f>VLOOKUP(B224,Upgrade_Params!$A$4:$K$23,3,FALSE)</f>
        <v/>
      </c>
      <c r="E224" s="17">
        <f>ROUND(VLOOKUP(B224,Upgrade_Params!$A$4:$K$23,4,FALSE)*VLOOKUP(B224,Upgrade_Params!$A$4:$K$23,5,FALSE)^(C224-1),0)</f>
        <v/>
      </c>
      <c r="F224" s="17">
        <f>ROUND(VLOOKUP(B224,Upgrade_Params!$A$4:$K$23,6,FALSE)*VLOOKUP(B224,Upgrade_Params!$A$4:$K$23,7,FALSE)^(C224-1),0)</f>
        <v/>
      </c>
      <c r="G224" s="17">
        <f>SUMIFS($F$4:F224,$B$4:B224,B224)</f>
        <v/>
      </c>
      <c r="H224" s="19">
        <f>IFERROR(E224/F224,0)</f>
        <v/>
      </c>
      <c r="I224" s="20">
        <f>VLOOKUP(B224,Upgrade_Params!$A$4:$K$23,9,FALSE)</f>
        <v/>
      </c>
      <c r="J224" s="20">
        <f>VLOOKUP(B224,Upgrade_Params!$A$4:$K$23,10,FALSE)</f>
        <v/>
      </c>
      <c r="K224" s="26">
        <f>IF(D224&lt;=6,"Starter",IF(D224&lt;=15,"Midgame",IF(D224&lt;=28,"Late Midgame","Endgame")))</f>
        <v/>
      </c>
      <c r="L224" s="18">
        <f>IFERROR(F224/E224*1000,0)</f>
        <v/>
      </c>
    </row>
    <row r="225">
      <c r="A225" s="25">
        <f>VLOOKUP(B225,Upgrade_Params!$A$4:$K$23,2,FALSE)</f>
        <v/>
      </c>
      <c r="B225" s="20" t="inlineStr">
        <is>
          <t>Risk Oracle</t>
        </is>
      </c>
      <c r="C225" s="25" t="n">
        <v>12</v>
      </c>
      <c r="D225" s="25">
        <f>VLOOKUP(B225,Upgrade_Params!$A$4:$K$23,3,FALSE)</f>
        <v/>
      </c>
      <c r="E225" s="17">
        <f>ROUND(VLOOKUP(B225,Upgrade_Params!$A$4:$K$23,4,FALSE)*VLOOKUP(B225,Upgrade_Params!$A$4:$K$23,5,FALSE)^(C225-1),0)</f>
        <v/>
      </c>
      <c r="F225" s="17">
        <f>ROUND(VLOOKUP(B225,Upgrade_Params!$A$4:$K$23,6,FALSE)*VLOOKUP(B225,Upgrade_Params!$A$4:$K$23,7,FALSE)^(C225-1),0)</f>
        <v/>
      </c>
      <c r="G225" s="17">
        <f>SUMIFS($F$4:F225,$B$4:B225,B225)</f>
        <v/>
      </c>
      <c r="H225" s="19">
        <f>IFERROR(E225/F225,0)</f>
        <v/>
      </c>
      <c r="I225" s="20">
        <f>VLOOKUP(B225,Upgrade_Params!$A$4:$K$23,9,FALSE)</f>
        <v/>
      </c>
      <c r="J225" s="20">
        <f>VLOOKUP(B225,Upgrade_Params!$A$4:$K$23,10,FALSE)</f>
        <v/>
      </c>
      <c r="K225" s="26">
        <f>IF(D225&lt;=6,"Starter",IF(D225&lt;=15,"Midgame",IF(D225&lt;=28,"Late Midgame","Endgame")))</f>
        <v/>
      </c>
      <c r="L225" s="18">
        <f>IFERROR(F225/E225*1000,0)</f>
        <v/>
      </c>
    </row>
    <row r="226">
      <c r="A226" s="25">
        <f>VLOOKUP(B226,Upgrade_Params!$A$4:$K$23,2,FALSE)</f>
        <v/>
      </c>
      <c r="B226" s="20" t="inlineStr">
        <is>
          <t>Risk Oracle</t>
        </is>
      </c>
      <c r="C226" s="25" t="n">
        <v>13</v>
      </c>
      <c r="D226" s="25">
        <f>VLOOKUP(B226,Upgrade_Params!$A$4:$K$23,3,FALSE)</f>
        <v/>
      </c>
      <c r="E226" s="17">
        <f>ROUND(VLOOKUP(B226,Upgrade_Params!$A$4:$K$23,4,FALSE)*VLOOKUP(B226,Upgrade_Params!$A$4:$K$23,5,FALSE)^(C226-1),0)</f>
        <v/>
      </c>
      <c r="F226" s="17">
        <f>ROUND(VLOOKUP(B226,Upgrade_Params!$A$4:$K$23,6,FALSE)*VLOOKUP(B226,Upgrade_Params!$A$4:$K$23,7,FALSE)^(C226-1),0)</f>
        <v/>
      </c>
      <c r="G226" s="17">
        <f>SUMIFS($F$4:F226,$B$4:B226,B226)</f>
        <v/>
      </c>
      <c r="H226" s="19">
        <f>IFERROR(E226/F226,0)</f>
        <v/>
      </c>
      <c r="I226" s="20">
        <f>VLOOKUP(B226,Upgrade_Params!$A$4:$K$23,9,FALSE)</f>
        <v/>
      </c>
      <c r="J226" s="20">
        <f>VLOOKUP(B226,Upgrade_Params!$A$4:$K$23,10,FALSE)</f>
        <v/>
      </c>
      <c r="K226" s="26">
        <f>IF(D226&lt;=6,"Starter",IF(D226&lt;=15,"Midgame",IF(D226&lt;=28,"Late Midgame","Endgame")))</f>
        <v/>
      </c>
      <c r="L226" s="18">
        <f>IFERROR(F226/E226*1000,0)</f>
        <v/>
      </c>
    </row>
    <row r="227">
      <c r="A227" s="25">
        <f>VLOOKUP(B227,Upgrade_Params!$A$4:$K$23,2,FALSE)</f>
        <v/>
      </c>
      <c r="B227" s="20" t="inlineStr">
        <is>
          <t>Risk Oracle</t>
        </is>
      </c>
      <c r="C227" s="25" t="n">
        <v>14</v>
      </c>
      <c r="D227" s="25">
        <f>VLOOKUP(B227,Upgrade_Params!$A$4:$K$23,3,FALSE)</f>
        <v/>
      </c>
      <c r="E227" s="17">
        <f>ROUND(VLOOKUP(B227,Upgrade_Params!$A$4:$K$23,4,FALSE)*VLOOKUP(B227,Upgrade_Params!$A$4:$K$23,5,FALSE)^(C227-1),0)</f>
        <v/>
      </c>
      <c r="F227" s="17">
        <f>ROUND(VLOOKUP(B227,Upgrade_Params!$A$4:$K$23,6,FALSE)*VLOOKUP(B227,Upgrade_Params!$A$4:$K$23,7,FALSE)^(C227-1),0)</f>
        <v/>
      </c>
      <c r="G227" s="17">
        <f>SUMIFS($F$4:F227,$B$4:B227,B227)</f>
        <v/>
      </c>
      <c r="H227" s="19">
        <f>IFERROR(E227/F227,0)</f>
        <v/>
      </c>
      <c r="I227" s="20">
        <f>VLOOKUP(B227,Upgrade_Params!$A$4:$K$23,9,FALSE)</f>
        <v/>
      </c>
      <c r="J227" s="20">
        <f>VLOOKUP(B227,Upgrade_Params!$A$4:$K$23,10,FALSE)</f>
        <v/>
      </c>
      <c r="K227" s="26">
        <f>IF(D227&lt;=6,"Starter",IF(D227&lt;=15,"Midgame",IF(D227&lt;=28,"Late Midgame","Endgame")))</f>
        <v/>
      </c>
      <c r="L227" s="18">
        <f>IFERROR(F227/E227*1000,0)</f>
        <v/>
      </c>
    </row>
    <row r="228">
      <c r="A228" s="25">
        <f>VLOOKUP(B228,Upgrade_Params!$A$4:$K$23,2,FALSE)</f>
        <v/>
      </c>
      <c r="B228" s="20" t="inlineStr">
        <is>
          <t>Risk Oracle</t>
        </is>
      </c>
      <c r="C228" s="25" t="n">
        <v>15</v>
      </c>
      <c r="D228" s="25">
        <f>VLOOKUP(B228,Upgrade_Params!$A$4:$K$23,3,FALSE)</f>
        <v/>
      </c>
      <c r="E228" s="17">
        <f>ROUND(VLOOKUP(B228,Upgrade_Params!$A$4:$K$23,4,FALSE)*VLOOKUP(B228,Upgrade_Params!$A$4:$K$23,5,FALSE)^(C228-1),0)</f>
        <v/>
      </c>
      <c r="F228" s="17">
        <f>ROUND(VLOOKUP(B228,Upgrade_Params!$A$4:$K$23,6,FALSE)*VLOOKUP(B228,Upgrade_Params!$A$4:$K$23,7,FALSE)^(C228-1),0)</f>
        <v/>
      </c>
      <c r="G228" s="17">
        <f>SUMIFS($F$4:F228,$B$4:B228,B228)</f>
        <v/>
      </c>
      <c r="H228" s="19">
        <f>IFERROR(E228/F228,0)</f>
        <v/>
      </c>
      <c r="I228" s="20">
        <f>VLOOKUP(B228,Upgrade_Params!$A$4:$K$23,9,FALSE)</f>
        <v/>
      </c>
      <c r="J228" s="20">
        <f>VLOOKUP(B228,Upgrade_Params!$A$4:$K$23,10,FALSE)</f>
        <v/>
      </c>
      <c r="K228" s="26">
        <f>IF(D228&lt;=6,"Starter",IF(D228&lt;=15,"Midgame",IF(D228&lt;=28,"Late Midgame","Endgame")))</f>
        <v/>
      </c>
      <c r="L228" s="18">
        <f>IFERROR(F228/E228*1000,0)</f>
        <v/>
      </c>
    </row>
    <row r="229">
      <c r="A229" s="25">
        <f>VLOOKUP(B229,Upgrade_Params!$A$4:$K$23,2,FALSE)</f>
        <v/>
      </c>
      <c r="B229" s="20" t="inlineStr">
        <is>
          <t>Market Maker</t>
        </is>
      </c>
      <c r="C229" s="25" t="n">
        <v>1</v>
      </c>
      <c r="D229" s="25">
        <f>VLOOKUP(B229,Upgrade_Params!$A$4:$K$23,3,FALSE)</f>
        <v/>
      </c>
      <c r="E229" s="17">
        <f>ROUND(VLOOKUP(B229,Upgrade_Params!$A$4:$K$23,4,FALSE)*VLOOKUP(B229,Upgrade_Params!$A$4:$K$23,5,FALSE)^(C229-1),0)</f>
        <v/>
      </c>
      <c r="F229" s="17">
        <f>ROUND(VLOOKUP(B229,Upgrade_Params!$A$4:$K$23,6,FALSE)*VLOOKUP(B229,Upgrade_Params!$A$4:$K$23,7,FALSE)^(C229-1),0)</f>
        <v/>
      </c>
      <c r="G229" s="17">
        <f>SUMIFS($F$4:F229,$B$4:B229,B229)</f>
        <v/>
      </c>
      <c r="H229" s="19">
        <f>IFERROR(E229/F229,0)</f>
        <v/>
      </c>
      <c r="I229" s="20">
        <f>VLOOKUP(B229,Upgrade_Params!$A$4:$K$23,9,FALSE)</f>
        <v/>
      </c>
      <c r="J229" s="20">
        <f>VLOOKUP(B229,Upgrade_Params!$A$4:$K$23,10,FALSE)</f>
        <v/>
      </c>
      <c r="K229" s="26">
        <f>IF(D229&lt;=6,"Starter",IF(D229&lt;=15,"Midgame",IF(D229&lt;=28,"Late Midgame","Endgame")))</f>
        <v/>
      </c>
      <c r="L229" s="18">
        <f>IFERROR(F229/E229*1000,0)</f>
        <v/>
      </c>
    </row>
    <row r="230">
      <c r="A230" s="25">
        <f>VLOOKUP(B230,Upgrade_Params!$A$4:$K$23,2,FALSE)</f>
        <v/>
      </c>
      <c r="B230" s="20" t="inlineStr">
        <is>
          <t>Market Maker</t>
        </is>
      </c>
      <c r="C230" s="25" t="n">
        <v>2</v>
      </c>
      <c r="D230" s="25">
        <f>VLOOKUP(B230,Upgrade_Params!$A$4:$K$23,3,FALSE)</f>
        <v/>
      </c>
      <c r="E230" s="17">
        <f>ROUND(VLOOKUP(B230,Upgrade_Params!$A$4:$K$23,4,FALSE)*VLOOKUP(B230,Upgrade_Params!$A$4:$K$23,5,FALSE)^(C230-1),0)</f>
        <v/>
      </c>
      <c r="F230" s="17">
        <f>ROUND(VLOOKUP(B230,Upgrade_Params!$A$4:$K$23,6,FALSE)*VLOOKUP(B230,Upgrade_Params!$A$4:$K$23,7,FALSE)^(C230-1),0)</f>
        <v/>
      </c>
      <c r="G230" s="17">
        <f>SUMIFS($F$4:F230,$B$4:B230,B230)</f>
        <v/>
      </c>
      <c r="H230" s="19">
        <f>IFERROR(E230/F230,0)</f>
        <v/>
      </c>
      <c r="I230" s="20">
        <f>VLOOKUP(B230,Upgrade_Params!$A$4:$K$23,9,FALSE)</f>
        <v/>
      </c>
      <c r="J230" s="20">
        <f>VLOOKUP(B230,Upgrade_Params!$A$4:$K$23,10,FALSE)</f>
        <v/>
      </c>
      <c r="K230" s="26">
        <f>IF(D230&lt;=6,"Starter",IF(D230&lt;=15,"Midgame",IF(D230&lt;=28,"Late Midgame","Endgame")))</f>
        <v/>
      </c>
      <c r="L230" s="18">
        <f>IFERROR(F230/E230*1000,0)</f>
        <v/>
      </c>
    </row>
    <row r="231">
      <c r="A231" s="25">
        <f>VLOOKUP(B231,Upgrade_Params!$A$4:$K$23,2,FALSE)</f>
        <v/>
      </c>
      <c r="B231" s="20" t="inlineStr">
        <is>
          <t>Market Maker</t>
        </is>
      </c>
      <c r="C231" s="25" t="n">
        <v>3</v>
      </c>
      <c r="D231" s="25">
        <f>VLOOKUP(B231,Upgrade_Params!$A$4:$K$23,3,FALSE)</f>
        <v/>
      </c>
      <c r="E231" s="17">
        <f>ROUND(VLOOKUP(B231,Upgrade_Params!$A$4:$K$23,4,FALSE)*VLOOKUP(B231,Upgrade_Params!$A$4:$K$23,5,FALSE)^(C231-1),0)</f>
        <v/>
      </c>
      <c r="F231" s="17">
        <f>ROUND(VLOOKUP(B231,Upgrade_Params!$A$4:$K$23,6,FALSE)*VLOOKUP(B231,Upgrade_Params!$A$4:$K$23,7,FALSE)^(C231-1),0)</f>
        <v/>
      </c>
      <c r="G231" s="17">
        <f>SUMIFS($F$4:F231,$B$4:B231,B231)</f>
        <v/>
      </c>
      <c r="H231" s="19">
        <f>IFERROR(E231/F231,0)</f>
        <v/>
      </c>
      <c r="I231" s="20">
        <f>VLOOKUP(B231,Upgrade_Params!$A$4:$K$23,9,FALSE)</f>
        <v/>
      </c>
      <c r="J231" s="20">
        <f>VLOOKUP(B231,Upgrade_Params!$A$4:$K$23,10,FALSE)</f>
        <v/>
      </c>
      <c r="K231" s="26">
        <f>IF(D231&lt;=6,"Starter",IF(D231&lt;=15,"Midgame",IF(D231&lt;=28,"Late Midgame","Endgame")))</f>
        <v/>
      </c>
      <c r="L231" s="18">
        <f>IFERROR(F231/E231*1000,0)</f>
        <v/>
      </c>
    </row>
    <row r="232">
      <c r="A232" s="25">
        <f>VLOOKUP(B232,Upgrade_Params!$A$4:$K$23,2,FALSE)</f>
        <v/>
      </c>
      <c r="B232" s="20" t="inlineStr">
        <is>
          <t>Market Maker</t>
        </is>
      </c>
      <c r="C232" s="25" t="n">
        <v>4</v>
      </c>
      <c r="D232" s="25">
        <f>VLOOKUP(B232,Upgrade_Params!$A$4:$K$23,3,FALSE)</f>
        <v/>
      </c>
      <c r="E232" s="17">
        <f>ROUND(VLOOKUP(B232,Upgrade_Params!$A$4:$K$23,4,FALSE)*VLOOKUP(B232,Upgrade_Params!$A$4:$K$23,5,FALSE)^(C232-1),0)</f>
        <v/>
      </c>
      <c r="F232" s="17">
        <f>ROUND(VLOOKUP(B232,Upgrade_Params!$A$4:$K$23,6,FALSE)*VLOOKUP(B232,Upgrade_Params!$A$4:$K$23,7,FALSE)^(C232-1),0)</f>
        <v/>
      </c>
      <c r="G232" s="17">
        <f>SUMIFS($F$4:F232,$B$4:B232,B232)</f>
        <v/>
      </c>
      <c r="H232" s="19">
        <f>IFERROR(E232/F232,0)</f>
        <v/>
      </c>
      <c r="I232" s="20">
        <f>VLOOKUP(B232,Upgrade_Params!$A$4:$K$23,9,FALSE)</f>
        <v/>
      </c>
      <c r="J232" s="20">
        <f>VLOOKUP(B232,Upgrade_Params!$A$4:$K$23,10,FALSE)</f>
        <v/>
      </c>
      <c r="K232" s="26">
        <f>IF(D232&lt;=6,"Starter",IF(D232&lt;=15,"Midgame",IF(D232&lt;=28,"Late Midgame","Endgame")))</f>
        <v/>
      </c>
      <c r="L232" s="18">
        <f>IFERROR(F232/E232*1000,0)</f>
        <v/>
      </c>
    </row>
    <row r="233">
      <c r="A233" s="25">
        <f>VLOOKUP(B233,Upgrade_Params!$A$4:$K$23,2,FALSE)</f>
        <v/>
      </c>
      <c r="B233" s="20" t="inlineStr">
        <is>
          <t>Market Maker</t>
        </is>
      </c>
      <c r="C233" s="25" t="n">
        <v>5</v>
      </c>
      <c r="D233" s="25">
        <f>VLOOKUP(B233,Upgrade_Params!$A$4:$K$23,3,FALSE)</f>
        <v/>
      </c>
      <c r="E233" s="17">
        <f>ROUND(VLOOKUP(B233,Upgrade_Params!$A$4:$K$23,4,FALSE)*VLOOKUP(B233,Upgrade_Params!$A$4:$K$23,5,FALSE)^(C233-1),0)</f>
        <v/>
      </c>
      <c r="F233" s="17">
        <f>ROUND(VLOOKUP(B233,Upgrade_Params!$A$4:$K$23,6,FALSE)*VLOOKUP(B233,Upgrade_Params!$A$4:$K$23,7,FALSE)^(C233-1),0)</f>
        <v/>
      </c>
      <c r="G233" s="17">
        <f>SUMIFS($F$4:F233,$B$4:B233,B233)</f>
        <v/>
      </c>
      <c r="H233" s="19">
        <f>IFERROR(E233/F233,0)</f>
        <v/>
      </c>
      <c r="I233" s="20">
        <f>VLOOKUP(B233,Upgrade_Params!$A$4:$K$23,9,FALSE)</f>
        <v/>
      </c>
      <c r="J233" s="20">
        <f>VLOOKUP(B233,Upgrade_Params!$A$4:$K$23,10,FALSE)</f>
        <v/>
      </c>
      <c r="K233" s="26">
        <f>IF(D233&lt;=6,"Starter",IF(D233&lt;=15,"Midgame",IF(D233&lt;=28,"Late Midgame","Endgame")))</f>
        <v/>
      </c>
      <c r="L233" s="18">
        <f>IFERROR(F233/E233*1000,0)</f>
        <v/>
      </c>
    </row>
    <row r="234">
      <c r="A234" s="25">
        <f>VLOOKUP(B234,Upgrade_Params!$A$4:$K$23,2,FALSE)</f>
        <v/>
      </c>
      <c r="B234" s="20" t="inlineStr">
        <is>
          <t>Market Maker</t>
        </is>
      </c>
      <c r="C234" s="25" t="n">
        <v>6</v>
      </c>
      <c r="D234" s="25">
        <f>VLOOKUP(B234,Upgrade_Params!$A$4:$K$23,3,FALSE)</f>
        <v/>
      </c>
      <c r="E234" s="17">
        <f>ROUND(VLOOKUP(B234,Upgrade_Params!$A$4:$K$23,4,FALSE)*VLOOKUP(B234,Upgrade_Params!$A$4:$K$23,5,FALSE)^(C234-1),0)</f>
        <v/>
      </c>
      <c r="F234" s="17">
        <f>ROUND(VLOOKUP(B234,Upgrade_Params!$A$4:$K$23,6,FALSE)*VLOOKUP(B234,Upgrade_Params!$A$4:$K$23,7,FALSE)^(C234-1),0)</f>
        <v/>
      </c>
      <c r="G234" s="17">
        <f>SUMIFS($F$4:F234,$B$4:B234,B234)</f>
        <v/>
      </c>
      <c r="H234" s="19">
        <f>IFERROR(E234/F234,0)</f>
        <v/>
      </c>
      <c r="I234" s="20">
        <f>VLOOKUP(B234,Upgrade_Params!$A$4:$K$23,9,FALSE)</f>
        <v/>
      </c>
      <c r="J234" s="20">
        <f>VLOOKUP(B234,Upgrade_Params!$A$4:$K$23,10,FALSE)</f>
        <v/>
      </c>
      <c r="K234" s="26">
        <f>IF(D234&lt;=6,"Starter",IF(D234&lt;=15,"Midgame",IF(D234&lt;=28,"Late Midgame","Endgame")))</f>
        <v/>
      </c>
      <c r="L234" s="18">
        <f>IFERROR(F234/E234*1000,0)</f>
        <v/>
      </c>
    </row>
    <row r="235">
      <c r="A235" s="25">
        <f>VLOOKUP(B235,Upgrade_Params!$A$4:$K$23,2,FALSE)</f>
        <v/>
      </c>
      <c r="B235" s="20" t="inlineStr">
        <is>
          <t>Market Maker</t>
        </is>
      </c>
      <c r="C235" s="25" t="n">
        <v>7</v>
      </c>
      <c r="D235" s="25">
        <f>VLOOKUP(B235,Upgrade_Params!$A$4:$K$23,3,FALSE)</f>
        <v/>
      </c>
      <c r="E235" s="17">
        <f>ROUND(VLOOKUP(B235,Upgrade_Params!$A$4:$K$23,4,FALSE)*VLOOKUP(B235,Upgrade_Params!$A$4:$K$23,5,FALSE)^(C235-1),0)</f>
        <v/>
      </c>
      <c r="F235" s="17">
        <f>ROUND(VLOOKUP(B235,Upgrade_Params!$A$4:$K$23,6,FALSE)*VLOOKUP(B235,Upgrade_Params!$A$4:$K$23,7,FALSE)^(C235-1),0)</f>
        <v/>
      </c>
      <c r="G235" s="17">
        <f>SUMIFS($F$4:F235,$B$4:B235,B235)</f>
        <v/>
      </c>
      <c r="H235" s="19">
        <f>IFERROR(E235/F235,0)</f>
        <v/>
      </c>
      <c r="I235" s="20">
        <f>VLOOKUP(B235,Upgrade_Params!$A$4:$K$23,9,FALSE)</f>
        <v/>
      </c>
      <c r="J235" s="20">
        <f>VLOOKUP(B235,Upgrade_Params!$A$4:$K$23,10,FALSE)</f>
        <v/>
      </c>
      <c r="K235" s="26">
        <f>IF(D235&lt;=6,"Starter",IF(D235&lt;=15,"Midgame",IF(D235&lt;=28,"Late Midgame","Endgame")))</f>
        <v/>
      </c>
      <c r="L235" s="18">
        <f>IFERROR(F235/E235*1000,0)</f>
        <v/>
      </c>
    </row>
    <row r="236">
      <c r="A236" s="25">
        <f>VLOOKUP(B236,Upgrade_Params!$A$4:$K$23,2,FALSE)</f>
        <v/>
      </c>
      <c r="B236" s="20" t="inlineStr">
        <is>
          <t>Market Maker</t>
        </is>
      </c>
      <c r="C236" s="25" t="n">
        <v>8</v>
      </c>
      <c r="D236" s="25">
        <f>VLOOKUP(B236,Upgrade_Params!$A$4:$K$23,3,FALSE)</f>
        <v/>
      </c>
      <c r="E236" s="17">
        <f>ROUND(VLOOKUP(B236,Upgrade_Params!$A$4:$K$23,4,FALSE)*VLOOKUP(B236,Upgrade_Params!$A$4:$K$23,5,FALSE)^(C236-1),0)</f>
        <v/>
      </c>
      <c r="F236" s="17">
        <f>ROUND(VLOOKUP(B236,Upgrade_Params!$A$4:$K$23,6,FALSE)*VLOOKUP(B236,Upgrade_Params!$A$4:$K$23,7,FALSE)^(C236-1),0)</f>
        <v/>
      </c>
      <c r="G236" s="17">
        <f>SUMIFS($F$4:F236,$B$4:B236,B236)</f>
        <v/>
      </c>
      <c r="H236" s="19">
        <f>IFERROR(E236/F236,0)</f>
        <v/>
      </c>
      <c r="I236" s="20">
        <f>VLOOKUP(B236,Upgrade_Params!$A$4:$K$23,9,FALSE)</f>
        <v/>
      </c>
      <c r="J236" s="20">
        <f>VLOOKUP(B236,Upgrade_Params!$A$4:$K$23,10,FALSE)</f>
        <v/>
      </c>
      <c r="K236" s="26">
        <f>IF(D236&lt;=6,"Starter",IF(D236&lt;=15,"Midgame",IF(D236&lt;=28,"Late Midgame","Endgame")))</f>
        <v/>
      </c>
      <c r="L236" s="18">
        <f>IFERROR(F236/E236*1000,0)</f>
        <v/>
      </c>
    </row>
    <row r="237">
      <c r="A237" s="25">
        <f>VLOOKUP(B237,Upgrade_Params!$A$4:$K$23,2,FALSE)</f>
        <v/>
      </c>
      <c r="B237" s="20" t="inlineStr">
        <is>
          <t>Market Maker</t>
        </is>
      </c>
      <c r="C237" s="25" t="n">
        <v>9</v>
      </c>
      <c r="D237" s="25">
        <f>VLOOKUP(B237,Upgrade_Params!$A$4:$K$23,3,FALSE)</f>
        <v/>
      </c>
      <c r="E237" s="17">
        <f>ROUND(VLOOKUP(B237,Upgrade_Params!$A$4:$K$23,4,FALSE)*VLOOKUP(B237,Upgrade_Params!$A$4:$K$23,5,FALSE)^(C237-1),0)</f>
        <v/>
      </c>
      <c r="F237" s="17">
        <f>ROUND(VLOOKUP(B237,Upgrade_Params!$A$4:$K$23,6,FALSE)*VLOOKUP(B237,Upgrade_Params!$A$4:$K$23,7,FALSE)^(C237-1),0)</f>
        <v/>
      </c>
      <c r="G237" s="17">
        <f>SUMIFS($F$4:F237,$B$4:B237,B237)</f>
        <v/>
      </c>
      <c r="H237" s="19">
        <f>IFERROR(E237/F237,0)</f>
        <v/>
      </c>
      <c r="I237" s="20">
        <f>VLOOKUP(B237,Upgrade_Params!$A$4:$K$23,9,FALSE)</f>
        <v/>
      </c>
      <c r="J237" s="20">
        <f>VLOOKUP(B237,Upgrade_Params!$A$4:$K$23,10,FALSE)</f>
        <v/>
      </c>
      <c r="K237" s="26">
        <f>IF(D237&lt;=6,"Starter",IF(D237&lt;=15,"Midgame",IF(D237&lt;=28,"Late Midgame","Endgame")))</f>
        <v/>
      </c>
      <c r="L237" s="18">
        <f>IFERROR(F237/E237*1000,0)</f>
        <v/>
      </c>
    </row>
    <row r="238">
      <c r="A238" s="25">
        <f>VLOOKUP(B238,Upgrade_Params!$A$4:$K$23,2,FALSE)</f>
        <v/>
      </c>
      <c r="B238" s="20" t="inlineStr">
        <is>
          <t>Market Maker</t>
        </is>
      </c>
      <c r="C238" s="25" t="n">
        <v>10</v>
      </c>
      <c r="D238" s="25">
        <f>VLOOKUP(B238,Upgrade_Params!$A$4:$K$23,3,FALSE)</f>
        <v/>
      </c>
      <c r="E238" s="17">
        <f>ROUND(VLOOKUP(B238,Upgrade_Params!$A$4:$K$23,4,FALSE)*VLOOKUP(B238,Upgrade_Params!$A$4:$K$23,5,FALSE)^(C238-1),0)</f>
        <v/>
      </c>
      <c r="F238" s="17">
        <f>ROUND(VLOOKUP(B238,Upgrade_Params!$A$4:$K$23,6,FALSE)*VLOOKUP(B238,Upgrade_Params!$A$4:$K$23,7,FALSE)^(C238-1),0)</f>
        <v/>
      </c>
      <c r="G238" s="17">
        <f>SUMIFS($F$4:F238,$B$4:B238,B238)</f>
        <v/>
      </c>
      <c r="H238" s="19">
        <f>IFERROR(E238/F238,0)</f>
        <v/>
      </c>
      <c r="I238" s="20">
        <f>VLOOKUP(B238,Upgrade_Params!$A$4:$K$23,9,FALSE)</f>
        <v/>
      </c>
      <c r="J238" s="20">
        <f>VLOOKUP(B238,Upgrade_Params!$A$4:$K$23,10,FALSE)</f>
        <v/>
      </c>
      <c r="K238" s="26">
        <f>IF(D238&lt;=6,"Starter",IF(D238&lt;=15,"Midgame",IF(D238&lt;=28,"Late Midgame","Endgame")))</f>
        <v/>
      </c>
      <c r="L238" s="18">
        <f>IFERROR(F238/E238*1000,0)</f>
        <v/>
      </c>
    </row>
    <row r="239">
      <c r="A239" s="25">
        <f>VLOOKUP(B239,Upgrade_Params!$A$4:$K$23,2,FALSE)</f>
        <v/>
      </c>
      <c r="B239" s="20" t="inlineStr">
        <is>
          <t>Market Maker</t>
        </is>
      </c>
      <c r="C239" s="25" t="n">
        <v>11</v>
      </c>
      <c r="D239" s="25">
        <f>VLOOKUP(B239,Upgrade_Params!$A$4:$K$23,3,FALSE)</f>
        <v/>
      </c>
      <c r="E239" s="17">
        <f>ROUND(VLOOKUP(B239,Upgrade_Params!$A$4:$K$23,4,FALSE)*VLOOKUP(B239,Upgrade_Params!$A$4:$K$23,5,FALSE)^(C239-1),0)</f>
        <v/>
      </c>
      <c r="F239" s="17">
        <f>ROUND(VLOOKUP(B239,Upgrade_Params!$A$4:$K$23,6,FALSE)*VLOOKUP(B239,Upgrade_Params!$A$4:$K$23,7,FALSE)^(C239-1),0)</f>
        <v/>
      </c>
      <c r="G239" s="17">
        <f>SUMIFS($F$4:F239,$B$4:B239,B239)</f>
        <v/>
      </c>
      <c r="H239" s="19">
        <f>IFERROR(E239/F239,0)</f>
        <v/>
      </c>
      <c r="I239" s="20">
        <f>VLOOKUP(B239,Upgrade_Params!$A$4:$K$23,9,FALSE)</f>
        <v/>
      </c>
      <c r="J239" s="20">
        <f>VLOOKUP(B239,Upgrade_Params!$A$4:$K$23,10,FALSE)</f>
        <v/>
      </c>
      <c r="K239" s="26">
        <f>IF(D239&lt;=6,"Starter",IF(D239&lt;=15,"Midgame",IF(D239&lt;=28,"Late Midgame","Endgame")))</f>
        <v/>
      </c>
      <c r="L239" s="18">
        <f>IFERROR(F239/E239*1000,0)</f>
        <v/>
      </c>
    </row>
    <row r="240">
      <c r="A240" s="25">
        <f>VLOOKUP(B240,Upgrade_Params!$A$4:$K$23,2,FALSE)</f>
        <v/>
      </c>
      <c r="B240" s="20" t="inlineStr">
        <is>
          <t>Market Maker</t>
        </is>
      </c>
      <c r="C240" s="25" t="n">
        <v>12</v>
      </c>
      <c r="D240" s="25">
        <f>VLOOKUP(B240,Upgrade_Params!$A$4:$K$23,3,FALSE)</f>
        <v/>
      </c>
      <c r="E240" s="17">
        <f>ROUND(VLOOKUP(B240,Upgrade_Params!$A$4:$K$23,4,FALSE)*VLOOKUP(B240,Upgrade_Params!$A$4:$K$23,5,FALSE)^(C240-1),0)</f>
        <v/>
      </c>
      <c r="F240" s="17">
        <f>ROUND(VLOOKUP(B240,Upgrade_Params!$A$4:$K$23,6,FALSE)*VLOOKUP(B240,Upgrade_Params!$A$4:$K$23,7,FALSE)^(C240-1),0)</f>
        <v/>
      </c>
      <c r="G240" s="17">
        <f>SUMIFS($F$4:F240,$B$4:B240,B240)</f>
        <v/>
      </c>
      <c r="H240" s="19">
        <f>IFERROR(E240/F240,0)</f>
        <v/>
      </c>
      <c r="I240" s="20">
        <f>VLOOKUP(B240,Upgrade_Params!$A$4:$K$23,9,FALSE)</f>
        <v/>
      </c>
      <c r="J240" s="20">
        <f>VLOOKUP(B240,Upgrade_Params!$A$4:$K$23,10,FALSE)</f>
        <v/>
      </c>
      <c r="K240" s="26">
        <f>IF(D240&lt;=6,"Starter",IF(D240&lt;=15,"Midgame",IF(D240&lt;=28,"Late Midgame","Endgame")))</f>
        <v/>
      </c>
      <c r="L240" s="18">
        <f>IFERROR(F240/E240*1000,0)</f>
        <v/>
      </c>
    </row>
    <row r="241">
      <c r="A241" s="25">
        <f>VLOOKUP(B241,Upgrade_Params!$A$4:$K$23,2,FALSE)</f>
        <v/>
      </c>
      <c r="B241" s="20" t="inlineStr">
        <is>
          <t>Market Maker</t>
        </is>
      </c>
      <c r="C241" s="25" t="n">
        <v>13</v>
      </c>
      <c r="D241" s="25">
        <f>VLOOKUP(B241,Upgrade_Params!$A$4:$K$23,3,FALSE)</f>
        <v/>
      </c>
      <c r="E241" s="17">
        <f>ROUND(VLOOKUP(B241,Upgrade_Params!$A$4:$K$23,4,FALSE)*VLOOKUP(B241,Upgrade_Params!$A$4:$K$23,5,FALSE)^(C241-1),0)</f>
        <v/>
      </c>
      <c r="F241" s="17">
        <f>ROUND(VLOOKUP(B241,Upgrade_Params!$A$4:$K$23,6,FALSE)*VLOOKUP(B241,Upgrade_Params!$A$4:$K$23,7,FALSE)^(C241-1),0)</f>
        <v/>
      </c>
      <c r="G241" s="17">
        <f>SUMIFS($F$4:F241,$B$4:B241,B241)</f>
        <v/>
      </c>
      <c r="H241" s="19">
        <f>IFERROR(E241/F241,0)</f>
        <v/>
      </c>
      <c r="I241" s="20">
        <f>VLOOKUP(B241,Upgrade_Params!$A$4:$K$23,9,FALSE)</f>
        <v/>
      </c>
      <c r="J241" s="20">
        <f>VLOOKUP(B241,Upgrade_Params!$A$4:$K$23,10,FALSE)</f>
        <v/>
      </c>
      <c r="K241" s="26">
        <f>IF(D241&lt;=6,"Starter",IF(D241&lt;=15,"Midgame",IF(D241&lt;=28,"Late Midgame","Endgame")))</f>
        <v/>
      </c>
      <c r="L241" s="18">
        <f>IFERROR(F241/E241*1000,0)</f>
        <v/>
      </c>
    </row>
    <row r="242">
      <c r="A242" s="25">
        <f>VLOOKUP(B242,Upgrade_Params!$A$4:$K$23,2,FALSE)</f>
        <v/>
      </c>
      <c r="B242" s="20" t="inlineStr">
        <is>
          <t>Market Maker</t>
        </is>
      </c>
      <c r="C242" s="25" t="n">
        <v>14</v>
      </c>
      <c r="D242" s="25">
        <f>VLOOKUP(B242,Upgrade_Params!$A$4:$K$23,3,FALSE)</f>
        <v/>
      </c>
      <c r="E242" s="17">
        <f>ROUND(VLOOKUP(B242,Upgrade_Params!$A$4:$K$23,4,FALSE)*VLOOKUP(B242,Upgrade_Params!$A$4:$K$23,5,FALSE)^(C242-1),0)</f>
        <v/>
      </c>
      <c r="F242" s="17">
        <f>ROUND(VLOOKUP(B242,Upgrade_Params!$A$4:$K$23,6,FALSE)*VLOOKUP(B242,Upgrade_Params!$A$4:$K$23,7,FALSE)^(C242-1),0)</f>
        <v/>
      </c>
      <c r="G242" s="17">
        <f>SUMIFS($F$4:F242,$B$4:B242,B242)</f>
        <v/>
      </c>
      <c r="H242" s="19">
        <f>IFERROR(E242/F242,0)</f>
        <v/>
      </c>
      <c r="I242" s="20">
        <f>VLOOKUP(B242,Upgrade_Params!$A$4:$K$23,9,FALSE)</f>
        <v/>
      </c>
      <c r="J242" s="20">
        <f>VLOOKUP(B242,Upgrade_Params!$A$4:$K$23,10,FALSE)</f>
        <v/>
      </c>
      <c r="K242" s="26">
        <f>IF(D242&lt;=6,"Starter",IF(D242&lt;=15,"Midgame",IF(D242&lt;=28,"Late Midgame","Endgame")))</f>
        <v/>
      </c>
      <c r="L242" s="18">
        <f>IFERROR(F242/E242*1000,0)</f>
        <v/>
      </c>
    </row>
    <row r="243">
      <c r="A243" s="25">
        <f>VLOOKUP(B243,Upgrade_Params!$A$4:$K$23,2,FALSE)</f>
        <v/>
      </c>
      <c r="B243" s="20" t="inlineStr">
        <is>
          <t>Market Maker</t>
        </is>
      </c>
      <c r="C243" s="25" t="n">
        <v>15</v>
      </c>
      <c r="D243" s="25">
        <f>VLOOKUP(B243,Upgrade_Params!$A$4:$K$23,3,FALSE)</f>
        <v/>
      </c>
      <c r="E243" s="17">
        <f>ROUND(VLOOKUP(B243,Upgrade_Params!$A$4:$K$23,4,FALSE)*VLOOKUP(B243,Upgrade_Params!$A$4:$K$23,5,FALSE)^(C243-1),0)</f>
        <v/>
      </c>
      <c r="F243" s="17">
        <f>ROUND(VLOOKUP(B243,Upgrade_Params!$A$4:$K$23,6,FALSE)*VLOOKUP(B243,Upgrade_Params!$A$4:$K$23,7,FALSE)^(C243-1),0)</f>
        <v/>
      </c>
      <c r="G243" s="17">
        <f>SUMIFS($F$4:F243,$B$4:B243,B243)</f>
        <v/>
      </c>
      <c r="H243" s="19">
        <f>IFERROR(E243/F243,0)</f>
        <v/>
      </c>
      <c r="I243" s="20">
        <f>VLOOKUP(B243,Upgrade_Params!$A$4:$K$23,9,FALSE)</f>
        <v/>
      </c>
      <c r="J243" s="20">
        <f>VLOOKUP(B243,Upgrade_Params!$A$4:$K$23,10,FALSE)</f>
        <v/>
      </c>
      <c r="K243" s="26">
        <f>IF(D243&lt;=6,"Starter",IF(D243&lt;=15,"Midgame",IF(D243&lt;=28,"Late Midgame","Endgame")))</f>
        <v/>
      </c>
      <c r="L243" s="18">
        <f>IFERROR(F243/E243*1000,0)</f>
        <v/>
      </c>
    </row>
    <row r="244">
      <c r="A244" s="25">
        <f>VLOOKUP(B244,Upgrade_Params!$A$4:$K$23,2,FALSE)</f>
        <v/>
      </c>
      <c r="B244" s="20" t="inlineStr">
        <is>
          <t>Auto-Tap Drones</t>
        </is>
      </c>
      <c r="C244" s="25" t="n">
        <v>1</v>
      </c>
      <c r="D244" s="25">
        <f>VLOOKUP(B244,Upgrade_Params!$A$4:$K$23,3,FALSE)</f>
        <v/>
      </c>
      <c r="E244" s="17">
        <f>ROUND(VLOOKUP(B244,Upgrade_Params!$A$4:$K$23,4,FALSE)*VLOOKUP(B244,Upgrade_Params!$A$4:$K$23,5,FALSE)^(C244-1),0)</f>
        <v/>
      </c>
      <c r="F244" s="17">
        <f>ROUND(VLOOKUP(B244,Upgrade_Params!$A$4:$K$23,6,FALSE)*VLOOKUP(B244,Upgrade_Params!$A$4:$K$23,7,FALSE)^(C244-1),0)</f>
        <v/>
      </c>
      <c r="G244" s="17">
        <f>SUMIFS($F$4:F244,$B$4:B244,B244)</f>
        <v/>
      </c>
      <c r="H244" s="19">
        <f>IFERROR(E244/F244,0)</f>
        <v/>
      </c>
      <c r="I244" s="20">
        <f>VLOOKUP(B244,Upgrade_Params!$A$4:$K$23,9,FALSE)</f>
        <v/>
      </c>
      <c r="J244" s="20">
        <f>VLOOKUP(B244,Upgrade_Params!$A$4:$K$23,10,FALSE)</f>
        <v/>
      </c>
      <c r="K244" s="26">
        <f>IF(D244&lt;=6,"Starter",IF(D244&lt;=15,"Midgame",IF(D244&lt;=28,"Late Midgame","Endgame")))</f>
        <v/>
      </c>
      <c r="L244" s="18">
        <f>IFERROR(F244/E244*1000,0)</f>
        <v/>
      </c>
    </row>
    <row r="245">
      <c r="A245" s="25">
        <f>VLOOKUP(B245,Upgrade_Params!$A$4:$K$23,2,FALSE)</f>
        <v/>
      </c>
      <c r="B245" s="20" t="inlineStr">
        <is>
          <t>Auto-Tap Drones</t>
        </is>
      </c>
      <c r="C245" s="25" t="n">
        <v>2</v>
      </c>
      <c r="D245" s="25">
        <f>VLOOKUP(B245,Upgrade_Params!$A$4:$K$23,3,FALSE)</f>
        <v/>
      </c>
      <c r="E245" s="17">
        <f>ROUND(VLOOKUP(B245,Upgrade_Params!$A$4:$K$23,4,FALSE)*VLOOKUP(B245,Upgrade_Params!$A$4:$K$23,5,FALSE)^(C245-1),0)</f>
        <v/>
      </c>
      <c r="F245" s="17">
        <f>ROUND(VLOOKUP(B245,Upgrade_Params!$A$4:$K$23,6,FALSE)*VLOOKUP(B245,Upgrade_Params!$A$4:$K$23,7,FALSE)^(C245-1),0)</f>
        <v/>
      </c>
      <c r="G245" s="17">
        <f>SUMIFS($F$4:F245,$B$4:B245,B245)</f>
        <v/>
      </c>
      <c r="H245" s="19">
        <f>IFERROR(E245/F245,0)</f>
        <v/>
      </c>
      <c r="I245" s="20">
        <f>VLOOKUP(B245,Upgrade_Params!$A$4:$K$23,9,FALSE)</f>
        <v/>
      </c>
      <c r="J245" s="20">
        <f>VLOOKUP(B245,Upgrade_Params!$A$4:$K$23,10,FALSE)</f>
        <v/>
      </c>
      <c r="K245" s="26">
        <f>IF(D245&lt;=6,"Starter",IF(D245&lt;=15,"Midgame",IF(D245&lt;=28,"Late Midgame","Endgame")))</f>
        <v/>
      </c>
      <c r="L245" s="18">
        <f>IFERROR(F245/E245*1000,0)</f>
        <v/>
      </c>
    </row>
    <row r="246">
      <c r="A246" s="25">
        <f>VLOOKUP(B246,Upgrade_Params!$A$4:$K$23,2,FALSE)</f>
        <v/>
      </c>
      <c r="B246" s="20" t="inlineStr">
        <is>
          <t>Auto-Tap Drones</t>
        </is>
      </c>
      <c r="C246" s="25" t="n">
        <v>3</v>
      </c>
      <c r="D246" s="25">
        <f>VLOOKUP(B246,Upgrade_Params!$A$4:$K$23,3,FALSE)</f>
        <v/>
      </c>
      <c r="E246" s="17">
        <f>ROUND(VLOOKUP(B246,Upgrade_Params!$A$4:$K$23,4,FALSE)*VLOOKUP(B246,Upgrade_Params!$A$4:$K$23,5,FALSE)^(C246-1),0)</f>
        <v/>
      </c>
      <c r="F246" s="17">
        <f>ROUND(VLOOKUP(B246,Upgrade_Params!$A$4:$K$23,6,FALSE)*VLOOKUP(B246,Upgrade_Params!$A$4:$K$23,7,FALSE)^(C246-1),0)</f>
        <v/>
      </c>
      <c r="G246" s="17">
        <f>SUMIFS($F$4:F246,$B$4:B246,B246)</f>
        <v/>
      </c>
      <c r="H246" s="19">
        <f>IFERROR(E246/F246,0)</f>
        <v/>
      </c>
      <c r="I246" s="20">
        <f>VLOOKUP(B246,Upgrade_Params!$A$4:$K$23,9,FALSE)</f>
        <v/>
      </c>
      <c r="J246" s="20">
        <f>VLOOKUP(B246,Upgrade_Params!$A$4:$K$23,10,FALSE)</f>
        <v/>
      </c>
      <c r="K246" s="26">
        <f>IF(D246&lt;=6,"Starter",IF(D246&lt;=15,"Midgame",IF(D246&lt;=28,"Late Midgame","Endgame")))</f>
        <v/>
      </c>
      <c r="L246" s="18">
        <f>IFERROR(F246/E246*1000,0)</f>
        <v/>
      </c>
    </row>
    <row r="247">
      <c r="A247" s="25">
        <f>VLOOKUP(B247,Upgrade_Params!$A$4:$K$23,2,FALSE)</f>
        <v/>
      </c>
      <c r="B247" s="20" t="inlineStr">
        <is>
          <t>Auto-Tap Drones</t>
        </is>
      </c>
      <c r="C247" s="25" t="n">
        <v>4</v>
      </c>
      <c r="D247" s="25">
        <f>VLOOKUP(B247,Upgrade_Params!$A$4:$K$23,3,FALSE)</f>
        <v/>
      </c>
      <c r="E247" s="17">
        <f>ROUND(VLOOKUP(B247,Upgrade_Params!$A$4:$K$23,4,FALSE)*VLOOKUP(B247,Upgrade_Params!$A$4:$K$23,5,FALSE)^(C247-1),0)</f>
        <v/>
      </c>
      <c r="F247" s="17">
        <f>ROUND(VLOOKUP(B247,Upgrade_Params!$A$4:$K$23,6,FALSE)*VLOOKUP(B247,Upgrade_Params!$A$4:$K$23,7,FALSE)^(C247-1),0)</f>
        <v/>
      </c>
      <c r="G247" s="17">
        <f>SUMIFS($F$4:F247,$B$4:B247,B247)</f>
        <v/>
      </c>
      <c r="H247" s="19">
        <f>IFERROR(E247/F247,0)</f>
        <v/>
      </c>
      <c r="I247" s="20">
        <f>VLOOKUP(B247,Upgrade_Params!$A$4:$K$23,9,FALSE)</f>
        <v/>
      </c>
      <c r="J247" s="20">
        <f>VLOOKUP(B247,Upgrade_Params!$A$4:$K$23,10,FALSE)</f>
        <v/>
      </c>
      <c r="K247" s="26">
        <f>IF(D247&lt;=6,"Starter",IF(D247&lt;=15,"Midgame",IF(D247&lt;=28,"Late Midgame","Endgame")))</f>
        <v/>
      </c>
      <c r="L247" s="18">
        <f>IFERROR(F247/E247*1000,0)</f>
        <v/>
      </c>
    </row>
    <row r="248">
      <c r="A248" s="25">
        <f>VLOOKUP(B248,Upgrade_Params!$A$4:$K$23,2,FALSE)</f>
        <v/>
      </c>
      <c r="B248" s="20" t="inlineStr">
        <is>
          <t>Auto-Tap Drones</t>
        </is>
      </c>
      <c r="C248" s="25" t="n">
        <v>5</v>
      </c>
      <c r="D248" s="25">
        <f>VLOOKUP(B248,Upgrade_Params!$A$4:$K$23,3,FALSE)</f>
        <v/>
      </c>
      <c r="E248" s="17">
        <f>ROUND(VLOOKUP(B248,Upgrade_Params!$A$4:$K$23,4,FALSE)*VLOOKUP(B248,Upgrade_Params!$A$4:$K$23,5,FALSE)^(C248-1),0)</f>
        <v/>
      </c>
      <c r="F248" s="17">
        <f>ROUND(VLOOKUP(B248,Upgrade_Params!$A$4:$K$23,6,FALSE)*VLOOKUP(B248,Upgrade_Params!$A$4:$K$23,7,FALSE)^(C248-1),0)</f>
        <v/>
      </c>
      <c r="G248" s="17">
        <f>SUMIFS($F$4:F248,$B$4:B248,B248)</f>
        <v/>
      </c>
      <c r="H248" s="19">
        <f>IFERROR(E248/F248,0)</f>
        <v/>
      </c>
      <c r="I248" s="20">
        <f>VLOOKUP(B248,Upgrade_Params!$A$4:$K$23,9,FALSE)</f>
        <v/>
      </c>
      <c r="J248" s="20">
        <f>VLOOKUP(B248,Upgrade_Params!$A$4:$K$23,10,FALSE)</f>
        <v/>
      </c>
      <c r="K248" s="26">
        <f>IF(D248&lt;=6,"Starter",IF(D248&lt;=15,"Midgame",IF(D248&lt;=28,"Late Midgame","Endgame")))</f>
        <v/>
      </c>
      <c r="L248" s="18">
        <f>IFERROR(F248/E248*1000,0)</f>
        <v/>
      </c>
    </row>
    <row r="249">
      <c r="A249" s="25">
        <f>VLOOKUP(B249,Upgrade_Params!$A$4:$K$23,2,FALSE)</f>
        <v/>
      </c>
      <c r="B249" s="20" t="inlineStr">
        <is>
          <t>Auto-Tap Drones</t>
        </is>
      </c>
      <c r="C249" s="25" t="n">
        <v>6</v>
      </c>
      <c r="D249" s="25">
        <f>VLOOKUP(B249,Upgrade_Params!$A$4:$K$23,3,FALSE)</f>
        <v/>
      </c>
      <c r="E249" s="17">
        <f>ROUND(VLOOKUP(B249,Upgrade_Params!$A$4:$K$23,4,FALSE)*VLOOKUP(B249,Upgrade_Params!$A$4:$K$23,5,FALSE)^(C249-1),0)</f>
        <v/>
      </c>
      <c r="F249" s="17">
        <f>ROUND(VLOOKUP(B249,Upgrade_Params!$A$4:$K$23,6,FALSE)*VLOOKUP(B249,Upgrade_Params!$A$4:$K$23,7,FALSE)^(C249-1),0)</f>
        <v/>
      </c>
      <c r="G249" s="17">
        <f>SUMIFS($F$4:F249,$B$4:B249,B249)</f>
        <v/>
      </c>
      <c r="H249" s="19">
        <f>IFERROR(E249/F249,0)</f>
        <v/>
      </c>
      <c r="I249" s="20">
        <f>VLOOKUP(B249,Upgrade_Params!$A$4:$K$23,9,FALSE)</f>
        <v/>
      </c>
      <c r="J249" s="20">
        <f>VLOOKUP(B249,Upgrade_Params!$A$4:$K$23,10,FALSE)</f>
        <v/>
      </c>
      <c r="K249" s="26">
        <f>IF(D249&lt;=6,"Starter",IF(D249&lt;=15,"Midgame",IF(D249&lt;=28,"Late Midgame","Endgame")))</f>
        <v/>
      </c>
      <c r="L249" s="18">
        <f>IFERROR(F249/E249*1000,0)</f>
        <v/>
      </c>
    </row>
    <row r="250">
      <c r="A250" s="25">
        <f>VLOOKUP(B250,Upgrade_Params!$A$4:$K$23,2,FALSE)</f>
        <v/>
      </c>
      <c r="B250" s="20" t="inlineStr">
        <is>
          <t>Auto-Tap Drones</t>
        </is>
      </c>
      <c r="C250" s="25" t="n">
        <v>7</v>
      </c>
      <c r="D250" s="25">
        <f>VLOOKUP(B250,Upgrade_Params!$A$4:$K$23,3,FALSE)</f>
        <v/>
      </c>
      <c r="E250" s="17">
        <f>ROUND(VLOOKUP(B250,Upgrade_Params!$A$4:$K$23,4,FALSE)*VLOOKUP(B250,Upgrade_Params!$A$4:$K$23,5,FALSE)^(C250-1),0)</f>
        <v/>
      </c>
      <c r="F250" s="17">
        <f>ROUND(VLOOKUP(B250,Upgrade_Params!$A$4:$K$23,6,FALSE)*VLOOKUP(B250,Upgrade_Params!$A$4:$K$23,7,FALSE)^(C250-1),0)</f>
        <v/>
      </c>
      <c r="G250" s="17">
        <f>SUMIFS($F$4:F250,$B$4:B250,B250)</f>
        <v/>
      </c>
      <c r="H250" s="19">
        <f>IFERROR(E250/F250,0)</f>
        <v/>
      </c>
      <c r="I250" s="20">
        <f>VLOOKUP(B250,Upgrade_Params!$A$4:$K$23,9,FALSE)</f>
        <v/>
      </c>
      <c r="J250" s="20">
        <f>VLOOKUP(B250,Upgrade_Params!$A$4:$K$23,10,FALSE)</f>
        <v/>
      </c>
      <c r="K250" s="26">
        <f>IF(D250&lt;=6,"Starter",IF(D250&lt;=15,"Midgame",IF(D250&lt;=28,"Late Midgame","Endgame")))</f>
        <v/>
      </c>
      <c r="L250" s="18">
        <f>IFERROR(F250/E250*1000,0)</f>
        <v/>
      </c>
    </row>
    <row r="251">
      <c r="A251" s="25">
        <f>VLOOKUP(B251,Upgrade_Params!$A$4:$K$23,2,FALSE)</f>
        <v/>
      </c>
      <c r="B251" s="20" t="inlineStr">
        <is>
          <t>Auto-Tap Drones</t>
        </is>
      </c>
      <c r="C251" s="25" t="n">
        <v>8</v>
      </c>
      <c r="D251" s="25">
        <f>VLOOKUP(B251,Upgrade_Params!$A$4:$K$23,3,FALSE)</f>
        <v/>
      </c>
      <c r="E251" s="17">
        <f>ROUND(VLOOKUP(B251,Upgrade_Params!$A$4:$K$23,4,FALSE)*VLOOKUP(B251,Upgrade_Params!$A$4:$K$23,5,FALSE)^(C251-1),0)</f>
        <v/>
      </c>
      <c r="F251" s="17">
        <f>ROUND(VLOOKUP(B251,Upgrade_Params!$A$4:$K$23,6,FALSE)*VLOOKUP(B251,Upgrade_Params!$A$4:$K$23,7,FALSE)^(C251-1),0)</f>
        <v/>
      </c>
      <c r="G251" s="17">
        <f>SUMIFS($F$4:F251,$B$4:B251,B251)</f>
        <v/>
      </c>
      <c r="H251" s="19">
        <f>IFERROR(E251/F251,0)</f>
        <v/>
      </c>
      <c r="I251" s="20">
        <f>VLOOKUP(B251,Upgrade_Params!$A$4:$K$23,9,FALSE)</f>
        <v/>
      </c>
      <c r="J251" s="20">
        <f>VLOOKUP(B251,Upgrade_Params!$A$4:$K$23,10,FALSE)</f>
        <v/>
      </c>
      <c r="K251" s="26">
        <f>IF(D251&lt;=6,"Starter",IF(D251&lt;=15,"Midgame",IF(D251&lt;=28,"Late Midgame","Endgame")))</f>
        <v/>
      </c>
      <c r="L251" s="18">
        <f>IFERROR(F251/E251*1000,0)</f>
        <v/>
      </c>
    </row>
    <row r="252">
      <c r="A252" s="25">
        <f>VLOOKUP(B252,Upgrade_Params!$A$4:$K$23,2,FALSE)</f>
        <v/>
      </c>
      <c r="B252" s="20" t="inlineStr">
        <is>
          <t>Auto-Tap Drones</t>
        </is>
      </c>
      <c r="C252" s="25" t="n">
        <v>9</v>
      </c>
      <c r="D252" s="25">
        <f>VLOOKUP(B252,Upgrade_Params!$A$4:$K$23,3,FALSE)</f>
        <v/>
      </c>
      <c r="E252" s="17">
        <f>ROUND(VLOOKUP(B252,Upgrade_Params!$A$4:$K$23,4,FALSE)*VLOOKUP(B252,Upgrade_Params!$A$4:$K$23,5,FALSE)^(C252-1),0)</f>
        <v/>
      </c>
      <c r="F252" s="17">
        <f>ROUND(VLOOKUP(B252,Upgrade_Params!$A$4:$K$23,6,FALSE)*VLOOKUP(B252,Upgrade_Params!$A$4:$K$23,7,FALSE)^(C252-1),0)</f>
        <v/>
      </c>
      <c r="G252" s="17">
        <f>SUMIFS($F$4:F252,$B$4:B252,B252)</f>
        <v/>
      </c>
      <c r="H252" s="19">
        <f>IFERROR(E252/F252,0)</f>
        <v/>
      </c>
      <c r="I252" s="20">
        <f>VLOOKUP(B252,Upgrade_Params!$A$4:$K$23,9,FALSE)</f>
        <v/>
      </c>
      <c r="J252" s="20">
        <f>VLOOKUP(B252,Upgrade_Params!$A$4:$K$23,10,FALSE)</f>
        <v/>
      </c>
      <c r="K252" s="26">
        <f>IF(D252&lt;=6,"Starter",IF(D252&lt;=15,"Midgame",IF(D252&lt;=28,"Late Midgame","Endgame")))</f>
        <v/>
      </c>
      <c r="L252" s="18">
        <f>IFERROR(F252/E252*1000,0)</f>
        <v/>
      </c>
    </row>
    <row r="253">
      <c r="A253" s="25">
        <f>VLOOKUP(B253,Upgrade_Params!$A$4:$K$23,2,FALSE)</f>
        <v/>
      </c>
      <c r="B253" s="20" t="inlineStr">
        <is>
          <t>Auto-Tap Drones</t>
        </is>
      </c>
      <c r="C253" s="25" t="n">
        <v>10</v>
      </c>
      <c r="D253" s="25">
        <f>VLOOKUP(B253,Upgrade_Params!$A$4:$K$23,3,FALSE)</f>
        <v/>
      </c>
      <c r="E253" s="17">
        <f>ROUND(VLOOKUP(B253,Upgrade_Params!$A$4:$K$23,4,FALSE)*VLOOKUP(B253,Upgrade_Params!$A$4:$K$23,5,FALSE)^(C253-1),0)</f>
        <v/>
      </c>
      <c r="F253" s="17">
        <f>ROUND(VLOOKUP(B253,Upgrade_Params!$A$4:$K$23,6,FALSE)*VLOOKUP(B253,Upgrade_Params!$A$4:$K$23,7,FALSE)^(C253-1),0)</f>
        <v/>
      </c>
      <c r="G253" s="17">
        <f>SUMIFS($F$4:F253,$B$4:B253,B253)</f>
        <v/>
      </c>
      <c r="H253" s="19">
        <f>IFERROR(E253/F253,0)</f>
        <v/>
      </c>
      <c r="I253" s="20">
        <f>VLOOKUP(B253,Upgrade_Params!$A$4:$K$23,9,FALSE)</f>
        <v/>
      </c>
      <c r="J253" s="20">
        <f>VLOOKUP(B253,Upgrade_Params!$A$4:$K$23,10,FALSE)</f>
        <v/>
      </c>
      <c r="K253" s="26">
        <f>IF(D253&lt;=6,"Starter",IF(D253&lt;=15,"Midgame",IF(D253&lt;=28,"Late Midgame","Endgame")))</f>
        <v/>
      </c>
      <c r="L253" s="18">
        <f>IFERROR(F253/E253*1000,0)</f>
        <v/>
      </c>
    </row>
    <row r="254">
      <c r="A254" s="25">
        <f>VLOOKUP(B254,Upgrade_Params!$A$4:$K$23,2,FALSE)</f>
        <v/>
      </c>
      <c r="B254" s="20" t="inlineStr">
        <is>
          <t>Auto-Tap Drones</t>
        </is>
      </c>
      <c r="C254" s="25" t="n">
        <v>11</v>
      </c>
      <c r="D254" s="25">
        <f>VLOOKUP(B254,Upgrade_Params!$A$4:$K$23,3,FALSE)</f>
        <v/>
      </c>
      <c r="E254" s="17">
        <f>ROUND(VLOOKUP(B254,Upgrade_Params!$A$4:$K$23,4,FALSE)*VLOOKUP(B254,Upgrade_Params!$A$4:$K$23,5,FALSE)^(C254-1),0)</f>
        <v/>
      </c>
      <c r="F254" s="17">
        <f>ROUND(VLOOKUP(B254,Upgrade_Params!$A$4:$K$23,6,FALSE)*VLOOKUP(B254,Upgrade_Params!$A$4:$K$23,7,FALSE)^(C254-1),0)</f>
        <v/>
      </c>
      <c r="G254" s="17">
        <f>SUMIFS($F$4:F254,$B$4:B254,B254)</f>
        <v/>
      </c>
      <c r="H254" s="19">
        <f>IFERROR(E254/F254,0)</f>
        <v/>
      </c>
      <c r="I254" s="20">
        <f>VLOOKUP(B254,Upgrade_Params!$A$4:$K$23,9,FALSE)</f>
        <v/>
      </c>
      <c r="J254" s="20">
        <f>VLOOKUP(B254,Upgrade_Params!$A$4:$K$23,10,FALSE)</f>
        <v/>
      </c>
      <c r="K254" s="26">
        <f>IF(D254&lt;=6,"Starter",IF(D254&lt;=15,"Midgame",IF(D254&lt;=28,"Late Midgame","Endgame")))</f>
        <v/>
      </c>
      <c r="L254" s="18">
        <f>IFERROR(F254/E254*1000,0)</f>
        <v/>
      </c>
    </row>
    <row r="255">
      <c r="A255" s="25">
        <f>VLOOKUP(B255,Upgrade_Params!$A$4:$K$23,2,FALSE)</f>
        <v/>
      </c>
      <c r="B255" s="20" t="inlineStr">
        <is>
          <t>Auto-Tap Drones</t>
        </is>
      </c>
      <c r="C255" s="25" t="n">
        <v>12</v>
      </c>
      <c r="D255" s="25">
        <f>VLOOKUP(B255,Upgrade_Params!$A$4:$K$23,3,FALSE)</f>
        <v/>
      </c>
      <c r="E255" s="17">
        <f>ROUND(VLOOKUP(B255,Upgrade_Params!$A$4:$K$23,4,FALSE)*VLOOKUP(B255,Upgrade_Params!$A$4:$K$23,5,FALSE)^(C255-1),0)</f>
        <v/>
      </c>
      <c r="F255" s="17">
        <f>ROUND(VLOOKUP(B255,Upgrade_Params!$A$4:$K$23,6,FALSE)*VLOOKUP(B255,Upgrade_Params!$A$4:$K$23,7,FALSE)^(C255-1),0)</f>
        <v/>
      </c>
      <c r="G255" s="17">
        <f>SUMIFS($F$4:F255,$B$4:B255,B255)</f>
        <v/>
      </c>
      <c r="H255" s="19">
        <f>IFERROR(E255/F255,0)</f>
        <v/>
      </c>
      <c r="I255" s="20">
        <f>VLOOKUP(B255,Upgrade_Params!$A$4:$K$23,9,FALSE)</f>
        <v/>
      </c>
      <c r="J255" s="20">
        <f>VLOOKUP(B255,Upgrade_Params!$A$4:$K$23,10,FALSE)</f>
        <v/>
      </c>
      <c r="K255" s="26">
        <f>IF(D255&lt;=6,"Starter",IF(D255&lt;=15,"Midgame",IF(D255&lt;=28,"Late Midgame","Endgame")))</f>
        <v/>
      </c>
      <c r="L255" s="18">
        <f>IFERROR(F255/E255*1000,0)</f>
        <v/>
      </c>
    </row>
    <row r="256">
      <c r="A256" s="25">
        <f>VLOOKUP(B256,Upgrade_Params!$A$4:$K$23,2,FALSE)</f>
        <v/>
      </c>
      <c r="B256" s="20" t="inlineStr">
        <is>
          <t>Auto-Tap Drones</t>
        </is>
      </c>
      <c r="C256" s="25" t="n">
        <v>13</v>
      </c>
      <c r="D256" s="25">
        <f>VLOOKUP(B256,Upgrade_Params!$A$4:$K$23,3,FALSE)</f>
        <v/>
      </c>
      <c r="E256" s="17">
        <f>ROUND(VLOOKUP(B256,Upgrade_Params!$A$4:$K$23,4,FALSE)*VLOOKUP(B256,Upgrade_Params!$A$4:$K$23,5,FALSE)^(C256-1),0)</f>
        <v/>
      </c>
      <c r="F256" s="17">
        <f>ROUND(VLOOKUP(B256,Upgrade_Params!$A$4:$K$23,6,FALSE)*VLOOKUP(B256,Upgrade_Params!$A$4:$K$23,7,FALSE)^(C256-1),0)</f>
        <v/>
      </c>
      <c r="G256" s="17">
        <f>SUMIFS($F$4:F256,$B$4:B256,B256)</f>
        <v/>
      </c>
      <c r="H256" s="19">
        <f>IFERROR(E256/F256,0)</f>
        <v/>
      </c>
      <c r="I256" s="20">
        <f>VLOOKUP(B256,Upgrade_Params!$A$4:$K$23,9,FALSE)</f>
        <v/>
      </c>
      <c r="J256" s="20">
        <f>VLOOKUP(B256,Upgrade_Params!$A$4:$K$23,10,FALSE)</f>
        <v/>
      </c>
      <c r="K256" s="26">
        <f>IF(D256&lt;=6,"Starter",IF(D256&lt;=15,"Midgame",IF(D256&lt;=28,"Late Midgame","Endgame")))</f>
        <v/>
      </c>
      <c r="L256" s="18">
        <f>IFERROR(F256/E256*1000,0)</f>
        <v/>
      </c>
    </row>
    <row r="257">
      <c r="A257" s="25">
        <f>VLOOKUP(B257,Upgrade_Params!$A$4:$K$23,2,FALSE)</f>
        <v/>
      </c>
      <c r="B257" s="20" t="inlineStr">
        <is>
          <t>Auto-Tap Drones</t>
        </is>
      </c>
      <c r="C257" s="25" t="n">
        <v>14</v>
      </c>
      <c r="D257" s="25">
        <f>VLOOKUP(B257,Upgrade_Params!$A$4:$K$23,3,FALSE)</f>
        <v/>
      </c>
      <c r="E257" s="17">
        <f>ROUND(VLOOKUP(B257,Upgrade_Params!$A$4:$K$23,4,FALSE)*VLOOKUP(B257,Upgrade_Params!$A$4:$K$23,5,FALSE)^(C257-1),0)</f>
        <v/>
      </c>
      <c r="F257" s="17">
        <f>ROUND(VLOOKUP(B257,Upgrade_Params!$A$4:$K$23,6,FALSE)*VLOOKUP(B257,Upgrade_Params!$A$4:$K$23,7,FALSE)^(C257-1),0)</f>
        <v/>
      </c>
      <c r="G257" s="17">
        <f>SUMIFS($F$4:F257,$B$4:B257,B257)</f>
        <v/>
      </c>
      <c r="H257" s="19">
        <f>IFERROR(E257/F257,0)</f>
        <v/>
      </c>
      <c r="I257" s="20">
        <f>VLOOKUP(B257,Upgrade_Params!$A$4:$K$23,9,FALSE)</f>
        <v/>
      </c>
      <c r="J257" s="20">
        <f>VLOOKUP(B257,Upgrade_Params!$A$4:$K$23,10,FALSE)</f>
        <v/>
      </c>
      <c r="K257" s="26">
        <f>IF(D257&lt;=6,"Starter",IF(D257&lt;=15,"Midgame",IF(D257&lt;=28,"Late Midgame","Endgame")))</f>
        <v/>
      </c>
      <c r="L257" s="18">
        <f>IFERROR(F257/E257*1000,0)</f>
        <v/>
      </c>
    </row>
    <row r="258">
      <c r="A258" s="25">
        <f>VLOOKUP(B258,Upgrade_Params!$A$4:$K$23,2,FALSE)</f>
        <v/>
      </c>
      <c r="B258" s="20" t="inlineStr">
        <is>
          <t>Auto-Tap Drones</t>
        </is>
      </c>
      <c r="C258" s="25" t="n">
        <v>15</v>
      </c>
      <c r="D258" s="25">
        <f>VLOOKUP(B258,Upgrade_Params!$A$4:$K$23,3,FALSE)</f>
        <v/>
      </c>
      <c r="E258" s="17">
        <f>ROUND(VLOOKUP(B258,Upgrade_Params!$A$4:$K$23,4,FALSE)*VLOOKUP(B258,Upgrade_Params!$A$4:$K$23,5,FALSE)^(C258-1),0)</f>
        <v/>
      </c>
      <c r="F258" s="17">
        <f>ROUND(VLOOKUP(B258,Upgrade_Params!$A$4:$K$23,6,FALSE)*VLOOKUP(B258,Upgrade_Params!$A$4:$K$23,7,FALSE)^(C258-1),0)</f>
        <v/>
      </c>
      <c r="G258" s="17">
        <f>SUMIFS($F$4:F258,$B$4:B258,B258)</f>
        <v/>
      </c>
      <c r="H258" s="19">
        <f>IFERROR(E258/F258,0)</f>
        <v/>
      </c>
      <c r="I258" s="20">
        <f>VLOOKUP(B258,Upgrade_Params!$A$4:$K$23,9,FALSE)</f>
        <v/>
      </c>
      <c r="J258" s="20">
        <f>VLOOKUP(B258,Upgrade_Params!$A$4:$K$23,10,FALSE)</f>
        <v/>
      </c>
      <c r="K258" s="26">
        <f>IF(D258&lt;=6,"Starter",IF(D258&lt;=15,"Midgame",IF(D258&lt;=28,"Late Midgame","Endgame")))</f>
        <v/>
      </c>
      <c r="L258" s="18">
        <f>IFERROR(F258/E258*1000,0)</f>
        <v/>
      </c>
    </row>
    <row r="259">
      <c r="A259" s="25">
        <f>VLOOKUP(B259,Upgrade_Params!$A$4:$K$23,2,FALSE)</f>
        <v/>
      </c>
      <c r="B259" s="20" t="inlineStr">
        <is>
          <t>Mission Center</t>
        </is>
      </c>
      <c r="C259" s="25" t="n">
        <v>1</v>
      </c>
      <c r="D259" s="25">
        <f>VLOOKUP(B259,Upgrade_Params!$A$4:$K$23,3,FALSE)</f>
        <v/>
      </c>
      <c r="E259" s="17">
        <f>ROUND(VLOOKUP(B259,Upgrade_Params!$A$4:$K$23,4,FALSE)*VLOOKUP(B259,Upgrade_Params!$A$4:$K$23,5,FALSE)^(C259-1),0)</f>
        <v/>
      </c>
      <c r="F259" s="17">
        <f>ROUND(VLOOKUP(B259,Upgrade_Params!$A$4:$K$23,6,FALSE)*VLOOKUP(B259,Upgrade_Params!$A$4:$K$23,7,FALSE)^(C259-1),0)</f>
        <v/>
      </c>
      <c r="G259" s="17">
        <f>SUMIFS($F$4:F259,$B$4:B259,B259)</f>
        <v/>
      </c>
      <c r="H259" s="19">
        <f>IFERROR(E259/F259,0)</f>
        <v/>
      </c>
      <c r="I259" s="20">
        <f>VLOOKUP(B259,Upgrade_Params!$A$4:$K$23,9,FALSE)</f>
        <v/>
      </c>
      <c r="J259" s="20">
        <f>VLOOKUP(B259,Upgrade_Params!$A$4:$K$23,10,FALSE)</f>
        <v/>
      </c>
      <c r="K259" s="26">
        <f>IF(D259&lt;=6,"Starter",IF(D259&lt;=15,"Midgame",IF(D259&lt;=28,"Late Midgame","Endgame")))</f>
        <v/>
      </c>
      <c r="L259" s="18">
        <f>IFERROR(F259/E259*1000,0)</f>
        <v/>
      </c>
    </row>
    <row r="260">
      <c r="A260" s="25">
        <f>VLOOKUP(B260,Upgrade_Params!$A$4:$K$23,2,FALSE)</f>
        <v/>
      </c>
      <c r="B260" s="20" t="inlineStr">
        <is>
          <t>Mission Center</t>
        </is>
      </c>
      <c r="C260" s="25" t="n">
        <v>2</v>
      </c>
      <c r="D260" s="25">
        <f>VLOOKUP(B260,Upgrade_Params!$A$4:$K$23,3,FALSE)</f>
        <v/>
      </c>
      <c r="E260" s="17">
        <f>ROUND(VLOOKUP(B260,Upgrade_Params!$A$4:$K$23,4,FALSE)*VLOOKUP(B260,Upgrade_Params!$A$4:$K$23,5,FALSE)^(C260-1),0)</f>
        <v/>
      </c>
      <c r="F260" s="17">
        <f>ROUND(VLOOKUP(B260,Upgrade_Params!$A$4:$K$23,6,FALSE)*VLOOKUP(B260,Upgrade_Params!$A$4:$K$23,7,FALSE)^(C260-1),0)</f>
        <v/>
      </c>
      <c r="G260" s="17">
        <f>SUMIFS($F$4:F260,$B$4:B260,B260)</f>
        <v/>
      </c>
      <c r="H260" s="19">
        <f>IFERROR(E260/F260,0)</f>
        <v/>
      </c>
      <c r="I260" s="20">
        <f>VLOOKUP(B260,Upgrade_Params!$A$4:$K$23,9,FALSE)</f>
        <v/>
      </c>
      <c r="J260" s="20">
        <f>VLOOKUP(B260,Upgrade_Params!$A$4:$K$23,10,FALSE)</f>
        <v/>
      </c>
      <c r="K260" s="26">
        <f>IF(D260&lt;=6,"Starter",IF(D260&lt;=15,"Midgame",IF(D260&lt;=28,"Late Midgame","Endgame")))</f>
        <v/>
      </c>
      <c r="L260" s="18">
        <f>IFERROR(F260/E260*1000,0)</f>
        <v/>
      </c>
    </row>
    <row r="261">
      <c r="A261" s="25">
        <f>VLOOKUP(B261,Upgrade_Params!$A$4:$K$23,2,FALSE)</f>
        <v/>
      </c>
      <c r="B261" s="20" t="inlineStr">
        <is>
          <t>Mission Center</t>
        </is>
      </c>
      <c r="C261" s="25" t="n">
        <v>3</v>
      </c>
      <c r="D261" s="25">
        <f>VLOOKUP(B261,Upgrade_Params!$A$4:$K$23,3,FALSE)</f>
        <v/>
      </c>
      <c r="E261" s="17">
        <f>ROUND(VLOOKUP(B261,Upgrade_Params!$A$4:$K$23,4,FALSE)*VLOOKUP(B261,Upgrade_Params!$A$4:$K$23,5,FALSE)^(C261-1),0)</f>
        <v/>
      </c>
      <c r="F261" s="17">
        <f>ROUND(VLOOKUP(B261,Upgrade_Params!$A$4:$K$23,6,FALSE)*VLOOKUP(B261,Upgrade_Params!$A$4:$K$23,7,FALSE)^(C261-1),0)</f>
        <v/>
      </c>
      <c r="G261" s="17">
        <f>SUMIFS($F$4:F261,$B$4:B261,B261)</f>
        <v/>
      </c>
      <c r="H261" s="19">
        <f>IFERROR(E261/F261,0)</f>
        <v/>
      </c>
      <c r="I261" s="20">
        <f>VLOOKUP(B261,Upgrade_Params!$A$4:$K$23,9,FALSE)</f>
        <v/>
      </c>
      <c r="J261" s="20">
        <f>VLOOKUP(B261,Upgrade_Params!$A$4:$K$23,10,FALSE)</f>
        <v/>
      </c>
      <c r="K261" s="26">
        <f>IF(D261&lt;=6,"Starter",IF(D261&lt;=15,"Midgame",IF(D261&lt;=28,"Late Midgame","Endgame")))</f>
        <v/>
      </c>
      <c r="L261" s="18">
        <f>IFERROR(F261/E261*1000,0)</f>
        <v/>
      </c>
    </row>
    <row r="262">
      <c r="A262" s="25">
        <f>VLOOKUP(B262,Upgrade_Params!$A$4:$K$23,2,FALSE)</f>
        <v/>
      </c>
      <c r="B262" s="20" t="inlineStr">
        <is>
          <t>Mission Center</t>
        </is>
      </c>
      <c r="C262" s="25" t="n">
        <v>4</v>
      </c>
      <c r="D262" s="25">
        <f>VLOOKUP(B262,Upgrade_Params!$A$4:$K$23,3,FALSE)</f>
        <v/>
      </c>
      <c r="E262" s="17">
        <f>ROUND(VLOOKUP(B262,Upgrade_Params!$A$4:$K$23,4,FALSE)*VLOOKUP(B262,Upgrade_Params!$A$4:$K$23,5,FALSE)^(C262-1),0)</f>
        <v/>
      </c>
      <c r="F262" s="17">
        <f>ROUND(VLOOKUP(B262,Upgrade_Params!$A$4:$K$23,6,FALSE)*VLOOKUP(B262,Upgrade_Params!$A$4:$K$23,7,FALSE)^(C262-1),0)</f>
        <v/>
      </c>
      <c r="G262" s="17">
        <f>SUMIFS($F$4:F262,$B$4:B262,B262)</f>
        <v/>
      </c>
      <c r="H262" s="19">
        <f>IFERROR(E262/F262,0)</f>
        <v/>
      </c>
      <c r="I262" s="20">
        <f>VLOOKUP(B262,Upgrade_Params!$A$4:$K$23,9,FALSE)</f>
        <v/>
      </c>
      <c r="J262" s="20">
        <f>VLOOKUP(B262,Upgrade_Params!$A$4:$K$23,10,FALSE)</f>
        <v/>
      </c>
      <c r="K262" s="26">
        <f>IF(D262&lt;=6,"Starter",IF(D262&lt;=15,"Midgame",IF(D262&lt;=28,"Late Midgame","Endgame")))</f>
        <v/>
      </c>
      <c r="L262" s="18">
        <f>IFERROR(F262/E262*1000,0)</f>
        <v/>
      </c>
    </row>
    <row r="263">
      <c r="A263" s="25">
        <f>VLOOKUP(B263,Upgrade_Params!$A$4:$K$23,2,FALSE)</f>
        <v/>
      </c>
      <c r="B263" s="20" t="inlineStr">
        <is>
          <t>Mission Center</t>
        </is>
      </c>
      <c r="C263" s="25" t="n">
        <v>5</v>
      </c>
      <c r="D263" s="25">
        <f>VLOOKUP(B263,Upgrade_Params!$A$4:$K$23,3,FALSE)</f>
        <v/>
      </c>
      <c r="E263" s="17">
        <f>ROUND(VLOOKUP(B263,Upgrade_Params!$A$4:$K$23,4,FALSE)*VLOOKUP(B263,Upgrade_Params!$A$4:$K$23,5,FALSE)^(C263-1),0)</f>
        <v/>
      </c>
      <c r="F263" s="17">
        <f>ROUND(VLOOKUP(B263,Upgrade_Params!$A$4:$K$23,6,FALSE)*VLOOKUP(B263,Upgrade_Params!$A$4:$K$23,7,FALSE)^(C263-1),0)</f>
        <v/>
      </c>
      <c r="G263" s="17">
        <f>SUMIFS($F$4:F263,$B$4:B263,B263)</f>
        <v/>
      </c>
      <c r="H263" s="19">
        <f>IFERROR(E263/F263,0)</f>
        <v/>
      </c>
      <c r="I263" s="20">
        <f>VLOOKUP(B263,Upgrade_Params!$A$4:$K$23,9,FALSE)</f>
        <v/>
      </c>
      <c r="J263" s="20">
        <f>VLOOKUP(B263,Upgrade_Params!$A$4:$K$23,10,FALSE)</f>
        <v/>
      </c>
      <c r="K263" s="26">
        <f>IF(D263&lt;=6,"Starter",IF(D263&lt;=15,"Midgame",IF(D263&lt;=28,"Late Midgame","Endgame")))</f>
        <v/>
      </c>
      <c r="L263" s="18">
        <f>IFERROR(F263/E263*1000,0)</f>
        <v/>
      </c>
    </row>
    <row r="264">
      <c r="A264" s="25">
        <f>VLOOKUP(B264,Upgrade_Params!$A$4:$K$23,2,FALSE)</f>
        <v/>
      </c>
      <c r="B264" s="20" t="inlineStr">
        <is>
          <t>Mission Center</t>
        </is>
      </c>
      <c r="C264" s="25" t="n">
        <v>6</v>
      </c>
      <c r="D264" s="25">
        <f>VLOOKUP(B264,Upgrade_Params!$A$4:$K$23,3,FALSE)</f>
        <v/>
      </c>
      <c r="E264" s="17">
        <f>ROUND(VLOOKUP(B264,Upgrade_Params!$A$4:$K$23,4,FALSE)*VLOOKUP(B264,Upgrade_Params!$A$4:$K$23,5,FALSE)^(C264-1),0)</f>
        <v/>
      </c>
      <c r="F264" s="17">
        <f>ROUND(VLOOKUP(B264,Upgrade_Params!$A$4:$K$23,6,FALSE)*VLOOKUP(B264,Upgrade_Params!$A$4:$K$23,7,FALSE)^(C264-1),0)</f>
        <v/>
      </c>
      <c r="G264" s="17">
        <f>SUMIFS($F$4:F264,$B$4:B264,B264)</f>
        <v/>
      </c>
      <c r="H264" s="19">
        <f>IFERROR(E264/F264,0)</f>
        <v/>
      </c>
      <c r="I264" s="20">
        <f>VLOOKUP(B264,Upgrade_Params!$A$4:$K$23,9,FALSE)</f>
        <v/>
      </c>
      <c r="J264" s="20">
        <f>VLOOKUP(B264,Upgrade_Params!$A$4:$K$23,10,FALSE)</f>
        <v/>
      </c>
      <c r="K264" s="26">
        <f>IF(D264&lt;=6,"Starter",IF(D264&lt;=15,"Midgame",IF(D264&lt;=28,"Late Midgame","Endgame")))</f>
        <v/>
      </c>
      <c r="L264" s="18">
        <f>IFERROR(F264/E264*1000,0)</f>
        <v/>
      </c>
    </row>
    <row r="265">
      <c r="A265" s="25">
        <f>VLOOKUP(B265,Upgrade_Params!$A$4:$K$23,2,FALSE)</f>
        <v/>
      </c>
      <c r="B265" s="20" t="inlineStr">
        <is>
          <t>Mission Center</t>
        </is>
      </c>
      <c r="C265" s="25" t="n">
        <v>7</v>
      </c>
      <c r="D265" s="25">
        <f>VLOOKUP(B265,Upgrade_Params!$A$4:$K$23,3,FALSE)</f>
        <v/>
      </c>
      <c r="E265" s="17">
        <f>ROUND(VLOOKUP(B265,Upgrade_Params!$A$4:$K$23,4,FALSE)*VLOOKUP(B265,Upgrade_Params!$A$4:$K$23,5,FALSE)^(C265-1),0)</f>
        <v/>
      </c>
      <c r="F265" s="17">
        <f>ROUND(VLOOKUP(B265,Upgrade_Params!$A$4:$K$23,6,FALSE)*VLOOKUP(B265,Upgrade_Params!$A$4:$K$23,7,FALSE)^(C265-1),0)</f>
        <v/>
      </c>
      <c r="G265" s="17">
        <f>SUMIFS($F$4:F265,$B$4:B265,B265)</f>
        <v/>
      </c>
      <c r="H265" s="19">
        <f>IFERROR(E265/F265,0)</f>
        <v/>
      </c>
      <c r="I265" s="20">
        <f>VLOOKUP(B265,Upgrade_Params!$A$4:$K$23,9,FALSE)</f>
        <v/>
      </c>
      <c r="J265" s="20">
        <f>VLOOKUP(B265,Upgrade_Params!$A$4:$K$23,10,FALSE)</f>
        <v/>
      </c>
      <c r="K265" s="26">
        <f>IF(D265&lt;=6,"Starter",IF(D265&lt;=15,"Midgame",IF(D265&lt;=28,"Late Midgame","Endgame")))</f>
        <v/>
      </c>
      <c r="L265" s="18">
        <f>IFERROR(F265/E265*1000,0)</f>
        <v/>
      </c>
    </row>
    <row r="266">
      <c r="A266" s="25">
        <f>VLOOKUP(B266,Upgrade_Params!$A$4:$K$23,2,FALSE)</f>
        <v/>
      </c>
      <c r="B266" s="20" t="inlineStr">
        <is>
          <t>Mission Center</t>
        </is>
      </c>
      <c r="C266" s="25" t="n">
        <v>8</v>
      </c>
      <c r="D266" s="25">
        <f>VLOOKUP(B266,Upgrade_Params!$A$4:$K$23,3,FALSE)</f>
        <v/>
      </c>
      <c r="E266" s="17">
        <f>ROUND(VLOOKUP(B266,Upgrade_Params!$A$4:$K$23,4,FALSE)*VLOOKUP(B266,Upgrade_Params!$A$4:$K$23,5,FALSE)^(C266-1),0)</f>
        <v/>
      </c>
      <c r="F266" s="17">
        <f>ROUND(VLOOKUP(B266,Upgrade_Params!$A$4:$K$23,6,FALSE)*VLOOKUP(B266,Upgrade_Params!$A$4:$K$23,7,FALSE)^(C266-1),0)</f>
        <v/>
      </c>
      <c r="G266" s="17">
        <f>SUMIFS($F$4:F266,$B$4:B266,B266)</f>
        <v/>
      </c>
      <c r="H266" s="19">
        <f>IFERROR(E266/F266,0)</f>
        <v/>
      </c>
      <c r="I266" s="20">
        <f>VLOOKUP(B266,Upgrade_Params!$A$4:$K$23,9,FALSE)</f>
        <v/>
      </c>
      <c r="J266" s="20">
        <f>VLOOKUP(B266,Upgrade_Params!$A$4:$K$23,10,FALSE)</f>
        <v/>
      </c>
      <c r="K266" s="26">
        <f>IF(D266&lt;=6,"Starter",IF(D266&lt;=15,"Midgame",IF(D266&lt;=28,"Late Midgame","Endgame")))</f>
        <v/>
      </c>
      <c r="L266" s="18">
        <f>IFERROR(F266/E266*1000,0)</f>
        <v/>
      </c>
    </row>
    <row r="267">
      <c r="A267" s="25">
        <f>VLOOKUP(B267,Upgrade_Params!$A$4:$K$23,2,FALSE)</f>
        <v/>
      </c>
      <c r="B267" s="20" t="inlineStr">
        <is>
          <t>Mission Center</t>
        </is>
      </c>
      <c r="C267" s="25" t="n">
        <v>9</v>
      </c>
      <c r="D267" s="25">
        <f>VLOOKUP(B267,Upgrade_Params!$A$4:$K$23,3,FALSE)</f>
        <v/>
      </c>
      <c r="E267" s="17">
        <f>ROUND(VLOOKUP(B267,Upgrade_Params!$A$4:$K$23,4,FALSE)*VLOOKUP(B267,Upgrade_Params!$A$4:$K$23,5,FALSE)^(C267-1),0)</f>
        <v/>
      </c>
      <c r="F267" s="17">
        <f>ROUND(VLOOKUP(B267,Upgrade_Params!$A$4:$K$23,6,FALSE)*VLOOKUP(B267,Upgrade_Params!$A$4:$K$23,7,FALSE)^(C267-1),0)</f>
        <v/>
      </c>
      <c r="G267" s="17">
        <f>SUMIFS($F$4:F267,$B$4:B267,B267)</f>
        <v/>
      </c>
      <c r="H267" s="19">
        <f>IFERROR(E267/F267,0)</f>
        <v/>
      </c>
      <c r="I267" s="20">
        <f>VLOOKUP(B267,Upgrade_Params!$A$4:$K$23,9,FALSE)</f>
        <v/>
      </c>
      <c r="J267" s="20">
        <f>VLOOKUP(B267,Upgrade_Params!$A$4:$K$23,10,FALSE)</f>
        <v/>
      </c>
      <c r="K267" s="26">
        <f>IF(D267&lt;=6,"Starter",IF(D267&lt;=15,"Midgame",IF(D267&lt;=28,"Late Midgame","Endgame")))</f>
        <v/>
      </c>
      <c r="L267" s="18">
        <f>IFERROR(F267/E267*1000,0)</f>
        <v/>
      </c>
    </row>
    <row r="268">
      <c r="A268" s="25">
        <f>VLOOKUP(B268,Upgrade_Params!$A$4:$K$23,2,FALSE)</f>
        <v/>
      </c>
      <c r="B268" s="20" t="inlineStr">
        <is>
          <t>Mission Center</t>
        </is>
      </c>
      <c r="C268" s="25" t="n">
        <v>10</v>
      </c>
      <c r="D268" s="25">
        <f>VLOOKUP(B268,Upgrade_Params!$A$4:$K$23,3,FALSE)</f>
        <v/>
      </c>
      <c r="E268" s="17">
        <f>ROUND(VLOOKUP(B268,Upgrade_Params!$A$4:$K$23,4,FALSE)*VLOOKUP(B268,Upgrade_Params!$A$4:$K$23,5,FALSE)^(C268-1),0)</f>
        <v/>
      </c>
      <c r="F268" s="17">
        <f>ROUND(VLOOKUP(B268,Upgrade_Params!$A$4:$K$23,6,FALSE)*VLOOKUP(B268,Upgrade_Params!$A$4:$K$23,7,FALSE)^(C268-1),0)</f>
        <v/>
      </c>
      <c r="G268" s="17">
        <f>SUMIFS($F$4:F268,$B$4:B268,B268)</f>
        <v/>
      </c>
      <c r="H268" s="19">
        <f>IFERROR(E268/F268,0)</f>
        <v/>
      </c>
      <c r="I268" s="20">
        <f>VLOOKUP(B268,Upgrade_Params!$A$4:$K$23,9,FALSE)</f>
        <v/>
      </c>
      <c r="J268" s="20">
        <f>VLOOKUP(B268,Upgrade_Params!$A$4:$K$23,10,FALSE)</f>
        <v/>
      </c>
      <c r="K268" s="26">
        <f>IF(D268&lt;=6,"Starter",IF(D268&lt;=15,"Midgame",IF(D268&lt;=28,"Late Midgame","Endgame")))</f>
        <v/>
      </c>
      <c r="L268" s="18">
        <f>IFERROR(F268/E268*1000,0)</f>
        <v/>
      </c>
    </row>
    <row r="269">
      <c r="A269" s="25">
        <f>VLOOKUP(B269,Upgrade_Params!$A$4:$K$23,2,FALSE)</f>
        <v/>
      </c>
      <c r="B269" s="20" t="inlineStr">
        <is>
          <t>Mission Center</t>
        </is>
      </c>
      <c r="C269" s="25" t="n">
        <v>11</v>
      </c>
      <c r="D269" s="25">
        <f>VLOOKUP(B269,Upgrade_Params!$A$4:$K$23,3,FALSE)</f>
        <v/>
      </c>
      <c r="E269" s="17">
        <f>ROUND(VLOOKUP(B269,Upgrade_Params!$A$4:$K$23,4,FALSE)*VLOOKUP(B269,Upgrade_Params!$A$4:$K$23,5,FALSE)^(C269-1),0)</f>
        <v/>
      </c>
      <c r="F269" s="17">
        <f>ROUND(VLOOKUP(B269,Upgrade_Params!$A$4:$K$23,6,FALSE)*VLOOKUP(B269,Upgrade_Params!$A$4:$K$23,7,FALSE)^(C269-1),0)</f>
        <v/>
      </c>
      <c r="G269" s="17">
        <f>SUMIFS($F$4:F269,$B$4:B269,B269)</f>
        <v/>
      </c>
      <c r="H269" s="19">
        <f>IFERROR(E269/F269,0)</f>
        <v/>
      </c>
      <c r="I269" s="20">
        <f>VLOOKUP(B269,Upgrade_Params!$A$4:$K$23,9,FALSE)</f>
        <v/>
      </c>
      <c r="J269" s="20">
        <f>VLOOKUP(B269,Upgrade_Params!$A$4:$K$23,10,FALSE)</f>
        <v/>
      </c>
      <c r="K269" s="26">
        <f>IF(D269&lt;=6,"Starter",IF(D269&lt;=15,"Midgame",IF(D269&lt;=28,"Late Midgame","Endgame")))</f>
        <v/>
      </c>
      <c r="L269" s="18">
        <f>IFERROR(F269/E269*1000,0)</f>
        <v/>
      </c>
    </row>
    <row r="270">
      <c r="A270" s="25">
        <f>VLOOKUP(B270,Upgrade_Params!$A$4:$K$23,2,FALSE)</f>
        <v/>
      </c>
      <c r="B270" s="20" t="inlineStr">
        <is>
          <t>Mission Center</t>
        </is>
      </c>
      <c r="C270" s="25" t="n">
        <v>12</v>
      </c>
      <c r="D270" s="25">
        <f>VLOOKUP(B270,Upgrade_Params!$A$4:$K$23,3,FALSE)</f>
        <v/>
      </c>
      <c r="E270" s="17">
        <f>ROUND(VLOOKUP(B270,Upgrade_Params!$A$4:$K$23,4,FALSE)*VLOOKUP(B270,Upgrade_Params!$A$4:$K$23,5,FALSE)^(C270-1),0)</f>
        <v/>
      </c>
      <c r="F270" s="17">
        <f>ROUND(VLOOKUP(B270,Upgrade_Params!$A$4:$K$23,6,FALSE)*VLOOKUP(B270,Upgrade_Params!$A$4:$K$23,7,FALSE)^(C270-1),0)</f>
        <v/>
      </c>
      <c r="G270" s="17">
        <f>SUMIFS($F$4:F270,$B$4:B270,B270)</f>
        <v/>
      </c>
      <c r="H270" s="19">
        <f>IFERROR(E270/F270,0)</f>
        <v/>
      </c>
      <c r="I270" s="20">
        <f>VLOOKUP(B270,Upgrade_Params!$A$4:$K$23,9,FALSE)</f>
        <v/>
      </c>
      <c r="J270" s="20">
        <f>VLOOKUP(B270,Upgrade_Params!$A$4:$K$23,10,FALSE)</f>
        <v/>
      </c>
      <c r="K270" s="26">
        <f>IF(D270&lt;=6,"Starter",IF(D270&lt;=15,"Midgame",IF(D270&lt;=28,"Late Midgame","Endgame")))</f>
        <v/>
      </c>
      <c r="L270" s="18">
        <f>IFERROR(F270/E270*1000,0)</f>
        <v/>
      </c>
    </row>
    <row r="271">
      <c r="A271" s="25">
        <f>VLOOKUP(B271,Upgrade_Params!$A$4:$K$23,2,FALSE)</f>
        <v/>
      </c>
      <c r="B271" s="20" t="inlineStr">
        <is>
          <t>Mission Center</t>
        </is>
      </c>
      <c r="C271" s="25" t="n">
        <v>13</v>
      </c>
      <c r="D271" s="25">
        <f>VLOOKUP(B271,Upgrade_Params!$A$4:$K$23,3,FALSE)</f>
        <v/>
      </c>
      <c r="E271" s="17">
        <f>ROUND(VLOOKUP(B271,Upgrade_Params!$A$4:$K$23,4,FALSE)*VLOOKUP(B271,Upgrade_Params!$A$4:$K$23,5,FALSE)^(C271-1),0)</f>
        <v/>
      </c>
      <c r="F271" s="17">
        <f>ROUND(VLOOKUP(B271,Upgrade_Params!$A$4:$K$23,6,FALSE)*VLOOKUP(B271,Upgrade_Params!$A$4:$K$23,7,FALSE)^(C271-1),0)</f>
        <v/>
      </c>
      <c r="G271" s="17">
        <f>SUMIFS($F$4:F271,$B$4:B271,B271)</f>
        <v/>
      </c>
      <c r="H271" s="19">
        <f>IFERROR(E271/F271,0)</f>
        <v/>
      </c>
      <c r="I271" s="20">
        <f>VLOOKUP(B271,Upgrade_Params!$A$4:$K$23,9,FALSE)</f>
        <v/>
      </c>
      <c r="J271" s="20">
        <f>VLOOKUP(B271,Upgrade_Params!$A$4:$K$23,10,FALSE)</f>
        <v/>
      </c>
      <c r="K271" s="26">
        <f>IF(D271&lt;=6,"Starter",IF(D271&lt;=15,"Midgame",IF(D271&lt;=28,"Late Midgame","Endgame")))</f>
        <v/>
      </c>
      <c r="L271" s="18">
        <f>IFERROR(F271/E271*1000,0)</f>
        <v/>
      </c>
    </row>
    <row r="272">
      <c r="A272" s="25">
        <f>VLOOKUP(B272,Upgrade_Params!$A$4:$K$23,2,FALSE)</f>
        <v/>
      </c>
      <c r="B272" s="20" t="inlineStr">
        <is>
          <t>Mission Center</t>
        </is>
      </c>
      <c r="C272" s="25" t="n">
        <v>14</v>
      </c>
      <c r="D272" s="25">
        <f>VLOOKUP(B272,Upgrade_Params!$A$4:$K$23,3,FALSE)</f>
        <v/>
      </c>
      <c r="E272" s="17">
        <f>ROUND(VLOOKUP(B272,Upgrade_Params!$A$4:$K$23,4,FALSE)*VLOOKUP(B272,Upgrade_Params!$A$4:$K$23,5,FALSE)^(C272-1),0)</f>
        <v/>
      </c>
      <c r="F272" s="17">
        <f>ROUND(VLOOKUP(B272,Upgrade_Params!$A$4:$K$23,6,FALSE)*VLOOKUP(B272,Upgrade_Params!$A$4:$K$23,7,FALSE)^(C272-1),0)</f>
        <v/>
      </c>
      <c r="G272" s="17">
        <f>SUMIFS($F$4:F272,$B$4:B272,B272)</f>
        <v/>
      </c>
      <c r="H272" s="19">
        <f>IFERROR(E272/F272,0)</f>
        <v/>
      </c>
      <c r="I272" s="20">
        <f>VLOOKUP(B272,Upgrade_Params!$A$4:$K$23,9,FALSE)</f>
        <v/>
      </c>
      <c r="J272" s="20">
        <f>VLOOKUP(B272,Upgrade_Params!$A$4:$K$23,10,FALSE)</f>
        <v/>
      </c>
      <c r="K272" s="26">
        <f>IF(D272&lt;=6,"Starter",IF(D272&lt;=15,"Midgame",IF(D272&lt;=28,"Late Midgame","Endgame")))</f>
        <v/>
      </c>
      <c r="L272" s="18">
        <f>IFERROR(F272/E272*1000,0)</f>
        <v/>
      </c>
    </row>
    <row r="273">
      <c r="A273" s="25">
        <f>VLOOKUP(B273,Upgrade_Params!$A$4:$K$23,2,FALSE)</f>
        <v/>
      </c>
      <c r="B273" s="20" t="inlineStr">
        <is>
          <t>Mission Center</t>
        </is>
      </c>
      <c r="C273" s="25" t="n">
        <v>15</v>
      </c>
      <c r="D273" s="25">
        <f>VLOOKUP(B273,Upgrade_Params!$A$4:$K$23,3,FALSE)</f>
        <v/>
      </c>
      <c r="E273" s="17">
        <f>ROUND(VLOOKUP(B273,Upgrade_Params!$A$4:$K$23,4,FALSE)*VLOOKUP(B273,Upgrade_Params!$A$4:$K$23,5,FALSE)^(C273-1),0)</f>
        <v/>
      </c>
      <c r="F273" s="17">
        <f>ROUND(VLOOKUP(B273,Upgrade_Params!$A$4:$K$23,6,FALSE)*VLOOKUP(B273,Upgrade_Params!$A$4:$K$23,7,FALSE)^(C273-1),0)</f>
        <v/>
      </c>
      <c r="G273" s="17">
        <f>SUMIFS($F$4:F273,$B$4:B273,B273)</f>
        <v/>
      </c>
      <c r="H273" s="19">
        <f>IFERROR(E273/F273,0)</f>
        <v/>
      </c>
      <c r="I273" s="20">
        <f>VLOOKUP(B273,Upgrade_Params!$A$4:$K$23,9,FALSE)</f>
        <v/>
      </c>
      <c r="J273" s="20">
        <f>VLOOKUP(B273,Upgrade_Params!$A$4:$K$23,10,FALSE)</f>
        <v/>
      </c>
      <c r="K273" s="26">
        <f>IF(D273&lt;=6,"Starter",IF(D273&lt;=15,"Midgame",IF(D273&lt;=28,"Late Midgame","Endgame")))</f>
        <v/>
      </c>
      <c r="L273" s="18">
        <f>IFERROR(F273/E273*1000,0)</f>
        <v/>
      </c>
    </row>
    <row r="274">
      <c r="A274" s="25">
        <f>VLOOKUP(B274,Upgrade_Params!$A$4:$K$23,2,FALSE)</f>
        <v/>
      </c>
      <c r="B274" s="20" t="inlineStr">
        <is>
          <t>Data Warehouse</t>
        </is>
      </c>
      <c r="C274" s="25" t="n">
        <v>1</v>
      </c>
      <c r="D274" s="25">
        <f>VLOOKUP(B274,Upgrade_Params!$A$4:$K$23,3,FALSE)</f>
        <v/>
      </c>
      <c r="E274" s="17">
        <f>ROUND(VLOOKUP(B274,Upgrade_Params!$A$4:$K$23,4,FALSE)*VLOOKUP(B274,Upgrade_Params!$A$4:$K$23,5,FALSE)^(C274-1),0)</f>
        <v/>
      </c>
      <c r="F274" s="17">
        <f>ROUND(VLOOKUP(B274,Upgrade_Params!$A$4:$K$23,6,FALSE)*VLOOKUP(B274,Upgrade_Params!$A$4:$K$23,7,FALSE)^(C274-1),0)</f>
        <v/>
      </c>
      <c r="G274" s="17">
        <f>SUMIFS($F$4:F274,$B$4:B274,B274)</f>
        <v/>
      </c>
      <c r="H274" s="19">
        <f>IFERROR(E274/F274,0)</f>
        <v/>
      </c>
      <c r="I274" s="20">
        <f>VLOOKUP(B274,Upgrade_Params!$A$4:$K$23,9,FALSE)</f>
        <v/>
      </c>
      <c r="J274" s="20">
        <f>VLOOKUP(B274,Upgrade_Params!$A$4:$K$23,10,FALSE)</f>
        <v/>
      </c>
      <c r="K274" s="26">
        <f>IF(D274&lt;=6,"Starter",IF(D274&lt;=15,"Midgame",IF(D274&lt;=28,"Late Midgame","Endgame")))</f>
        <v/>
      </c>
      <c r="L274" s="18">
        <f>IFERROR(F274/E274*1000,0)</f>
        <v/>
      </c>
    </row>
    <row r="275">
      <c r="A275" s="25">
        <f>VLOOKUP(B275,Upgrade_Params!$A$4:$K$23,2,FALSE)</f>
        <v/>
      </c>
      <c r="B275" s="20" t="inlineStr">
        <is>
          <t>Data Warehouse</t>
        </is>
      </c>
      <c r="C275" s="25" t="n">
        <v>2</v>
      </c>
      <c r="D275" s="25">
        <f>VLOOKUP(B275,Upgrade_Params!$A$4:$K$23,3,FALSE)</f>
        <v/>
      </c>
      <c r="E275" s="17">
        <f>ROUND(VLOOKUP(B275,Upgrade_Params!$A$4:$K$23,4,FALSE)*VLOOKUP(B275,Upgrade_Params!$A$4:$K$23,5,FALSE)^(C275-1),0)</f>
        <v/>
      </c>
      <c r="F275" s="17">
        <f>ROUND(VLOOKUP(B275,Upgrade_Params!$A$4:$K$23,6,FALSE)*VLOOKUP(B275,Upgrade_Params!$A$4:$K$23,7,FALSE)^(C275-1),0)</f>
        <v/>
      </c>
      <c r="G275" s="17">
        <f>SUMIFS($F$4:F275,$B$4:B275,B275)</f>
        <v/>
      </c>
      <c r="H275" s="19">
        <f>IFERROR(E275/F275,0)</f>
        <v/>
      </c>
      <c r="I275" s="20">
        <f>VLOOKUP(B275,Upgrade_Params!$A$4:$K$23,9,FALSE)</f>
        <v/>
      </c>
      <c r="J275" s="20">
        <f>VLOOKUP(B275,Upgrade_Params!$A$4:$K$23,10,FALSE)</f>
        <v/>
      </c>
      <c r="K275" s="26">
        <f>IF(D275&lt;=6,"Starter",IF(D275&lt;=15,"Midgame",IF(D275&lt;=28,"Late Midgame","Endgame")))</f>
        <v/>
      </c>
      <c r="L275" s="18">
        <f>IFERROR(F275/E275*1000,0)</f>
        <v/>
      </c>
    </row>
    <row r="276">
      <c r="A276" s="25">
        <f>VLOOKUP(B276,Upgrade_Params!$A$4:$K$23,2,FALSE)</f>
        <v/>
      </c>
      <c r="B276" s="20" t="inlineStr">
        <is>
          <t>Data Warehouse</t>
        </is>
      </c>
      <c r="C276" s="25" t="n">
        <v>3</v>
      </c>
      <c r="D276" s="25">
        <f>VLOOKUP(B276,Upgrade_Params!$A$4:$K$23,3,FALSE)</f>
        <v/>
      </c>
      <c r="E276" s="17">
        <f>ROUND(VLOOKUP(B276,Upgrade_Params!$A$4:$K$23,4,FALSE)*VLOOKUP(B276,Upgrade_Params!$A$4:$K$23,5,FALSE)^(C276-1),0)</f>
        <v/>
      </c>
      <c r="F276" s="17">
        <f>ROUND(VLOOKUP(B276,Upgrade_Params!$A$4:$K$23,6,FALSE)*VLOOKUP(B276,Upgrade_Params!$A$4:$K$23,7,FALSE)^(C276-1),0)</f>
        <v/>
      </c>
      <c r="G276" s="17">
        <f>SUMIFS($F$4:F276,$B$4:B276,B276)</f>
        <v/>
      </c>
      <c r="H276" s="19">
        <f>IFERROR(E276/F276,0)</f>
        <v/>
      </c>
      <c r="I276" s="20">
        <f>VLOOKUP(B276,Upgrade_Params!$A$4:$K$23,9,FALSE)</f>
        <v/>
      </c>
      <c r="J276" s="20">
        <f>VLOOKUP(B276,Upgrade_Params!$A$4:$K$23,10,FALSE)</f>
        <v/>
      </c>
      <c r="K276" s="26">
        <f>IF(D276&lt;=6,"Starter",IF(D276&lt;=15,"Midgame",IF(D276&lt;=28,"Late Midgame","Endgame")))</f>
        <v/>
      </c>
      <c r="L276" s="18">
        <f>IFERROR(F276/E276*1000,0)</f>
        <v/>
      </c>
    </row>
    <row r="277">
      <c r="A277" s="25">
        <f>VLOOKUP(B277,Upgrade_Params!$A$4:$K$23,2,FALSE)</f>
        <v/>
      </c>
      <c r="B277" s="20" t="inlineStr">
        <is>
          <t>Data Warehouse</t>
        </is>
      </c>
      <c r="C277" s="25" t="n">
        <v>4</v>
      </c>
      <c r="D277" s="25">
        <f>VLOOKUP(B277,Upgrade_Params!$A$4:$K$23,3,FALSE)</f>
        <v/>
      </c>
      <c r="E277" s="17">
        <f>ROUND(VLOOKUP(B277,Upgrade_Params!$A$4:$K$23,4,FALSE)*VLOOKUP(B277,Upgrade_Params!$A$4:$K$23,5,FALSE)^(C277-1),0)</f>
        <v/>
      </c>
      <c r="F277" s="17">
        <f>ROUND(VLOOKUP(B277,Upgrade_Params!$A$4:$K$23,6,FALSE)*VLOOKUP(B277,Upgrade_Params!$A$4:$K$23,7,FALSE)^(C277-1),0)</f>
        <v/>
      </c>
      <c r="G277" s="17">
        <f>SUMIFS($F$4:F277,$B$4:B277,B277)</f>
        <v/>
      </c>
      <c r="H277" s="19">
        <f>IFERROR(E277/F277,0)</f>
        <v/>
      </c>
      <c r="I277" s="20">
        <f>VLOOKUP(B277,Upgrade_Params!$A$4:$K$23,9,FALSE)</f>
        <v/>
      </c>
      <c r="J277" s="20">
        <f>VLOOKUP(B277,Upgrade_Params!$A$4:$K$23,10,FALSE)</f>
        <v/>
      </c>
      <c r="K277" s="26">
        <f>IF(D277&lt;=6,"Starter",IF(D277&lt;=15,"Midgame",IF(D277&lt;=28,"Late Midgame","Endgame")))</f>
        <v/>
      </c>
      <c r="L277" s="18">
        <f>IFERROR(F277/E277*1000,0)</f>
        <v/>
      </c>
    </row>
    <row r="278">
      <c r="A278" s="25">
        <f>VLOOKUP(B278,Upgrade_Params!$A$4:$K$23,2,FALSE)</f>
        <v/>
      </c>
      <c r="B278" s="20" t="inlineStr">
        <is>
          <t>Data Warehouse</t>
        </is>
      </c>
      <c r="C278" s="25" t="n">
        <v>5</v>
      </c>
      <c r="D278" s="25">
        <f>VLOOKUP(B278,Upgrade_Params!$A$4:$K$23,3,FALSE)</f>
        <v/>
      </c>
      <c r="E278" s="17">
        <f>ROUND(VLOOKUP(B278,Upgrade_Params!$A$4:$K$23,4,FALSE)*VLOOKUP(B278,Upgrade_Params!$A$4:$K$23,5,FALSE)^(C278-1),0)</f>
        <v/>
      </c>
      <c r="F278" s="17">
        <f>ROUND(VLOOKUP(B278,Upgrade_Params!$A$4:$K$23,6,FALSE)*VLOOKUP(B278,Upgrade_Params!$A$4:$K$23,7,FALSE)^(C278-1),0)</f>
        <v/>
      </c>
      <c r="G278" s="17">
        <f>SUMIFS($F$4:F278,$B$4:B278,B278)</f>
        <v/>
      </c>
      <c r="H278" s="19">
        <f>IFERROR(E278/F278,0)</f>
        <v/>
      </c>
      <c r="I278" s="20">
        <f>VLOOKUP(B278,Upgrade_Params!$A$4:$K$23,9,FALSE)</f>
        <v/>
      </c>
      <c r="J278" s="20">
        <f>VLOOKUP(B278,Upgrade_Params!$A$4:$K$23,10,FALSE)</f>
        <v/>
      </c>
      <c r="K278" s="26">
        <f>IF(D278&lt;=6,"Starter",IF(D278&lt;=15,"Midgame",IF(D278&lt;=28,"Late Midgame","Endgame")))</f>
        <v/>
      </c>
      <c r="L278" s="18">
        <f>IFERROR(F278/E278*1000,0)</f>
        <v/>
      </c>
    </row>
    <row r="279">
      <c r="A279" s="25">
        <f>VLOOKUP(B279,Upgrade_Params!$A$4:$K$23,2,FALSE)</f>
        <v/>
      </c>
      <c r="B279" s="20" t="inlineStr">
        <is>
          <t>Data Warehouse</t>
        </is>
      </c>
      <c r="C279" s="25" t="n">
        <v>6</v>
      </c>
      <c r="D279" s="25">
        <f>VLOOKUP(B279,Upgrade_Params!$A$4:$K$23,3,FALSE)</f>
        <v/>
      </c>
      <c r="E279" s="17">
        <f>ROUND(VLOOKUP(B279,Upgrade_Params!$A$4:$K$23,4,FALSE)*VLOOKUP(B279,Upgrade_Params!$A$4:$K$23,5,FALSE)^(C279-1),0)</f>
        <v/>
      </c>
      <c r="F279" s="17">
        <f>ROUND(VLOOKUP(B279,Upgrade_Params!$A$4:$K$23,6,FALSE)*VLOOKUP(B279,Upgrade_Params!$A$4:$K$23,7,FALSE)^(C279-1),0)</f>
        <v/>
      </c>
      <c r="G279" s="17">
        <f>SUMIFS($F$4:F279,$B$4:B279,B279)</f>
        <v/>
      </c>
      <c r="H279" s="19">
        <f>IFERROR(E279/F279,0)</f>
        <v/>
      </c>
      <c r="I279" s="20">
        <f>VLOOKUP(B279,Upgrade_Params!$A$4:$K$23,9,FALSE)</f>
        <v/>
      </c>
      <c r="J279" s="20">
        <f>VLOOKUP(B279,Upgrade_Params!$A$4:$K$23,10,FALSE)</f>
        <v/>
      </c>
      <c r="K279" s="26">
        <f>IF(D279&lt;=6,"Starter",IF(D279&lt;=15,"Midgame",IF(D279&lt;=28,"Late Midgame","Endgame")))</f>
        <v/>
      </c>
      <c r="L279" s="18">
        <f>IFERROR(F279/E279*1000,0)</f>
        <v/>
      </c>
    </row>
    <row r="280">
      <c r="A280" s="25">
        <f>VLOOKUP(B280,Upgrade_Params!$A$4:$K$23,2,FALSE)</f>
        <v/>
      </c>
      <c r="B280" s="20" t="inlineStr">
        <is>
          <t>Data Warehouse</t>
        </is>
      </c>
      <c r="C280" s="25" t="n">
        <v>7</v>
      </c>
      <c r="D280" s="25">
        <f>VLOOKUP(B280,Upgrade_Params!$A$4:$K$23,3,FALSE)</f>
        <v/>
      </c>
      <c r="E280" s="17">
        <f>ROUND(VLOOKUP(B280,Upgrade_Params!$A$4:$K$23,4,FALSE)*VLOOKUP(B280,Upgrade_Params!$A$4:$K$23,5,FALSE)^(C280-1),0)</f>
        <v/>
      </c>
      <c r="F280" s="17">
        <f>ROUND(VLOOKUP(B280,Upgrade_Params!$A$4:$K$23,6,FALSE)*VLOOKUP(B280,Upgrade_Params!$A$4:$K$23,7,FALSE)^(C280-1),0)</f>
        <v/>
      </c>
      <c r="G280" s="17">
        <f>SUMIFS($F$4:F280,$B$4:B280,B280)</f>
        <v/>
      </c>
      <c r="H280" s="19">
        <f>IFERROR(E280/F280,0)</f>
        <v/>
      </c>
      <c r="I280" s="20">
        <f>VLOOKUP(B280,Upgrade_Params!$A$4:$K$23,9,FALSE)</f>
        <v/>
      </c>
      <c r="J280" s="20">
        <f>VLOOKUP(B280,Upgrade_Params!$A$4:$K$23,10,FALSE)</f>
        <v/>
      </c>
      <c r="K280" s="26">
        <f>IF(D280&lt;=6,"Starter",IF(D280&lt;=15,"Midgame",IF(D280&lt;=28,"Late Midgame","Endgame")))</f>
        <v/>
      </c>
      <c r="L280" s="18">
        <f>IFERROR(F280/E280*1000,0)</f>
        <v/>
      </c>
    </row>
    <row r="281">
      <c r="A281" s="25">
        <f>VLOOKUP(B281,Upgrade_Params!$A$4:$K$23,2,FALSE)</f>
        <v/>
      </c>
      <c r="B281" s="20" t="inlineStr">
        <is>
          <t>Data Warehouse</t>
        </is>
      </c>
      <c r="C281" s="25" t="n">
        <v>8</v>
      </c>
      <c r="D281" s="25">
        <f>VLOOKUP(B281,Upgrade_Params!$A$4:$K$23,3,FALSE)</f>
        <v/>
      </c>
      <c r="E281" s="17">
        <f>ROUND(VLOOKUP(B281,Upgrade_Params!$A$4:$K$23,4,FALSE)*VLOOKUP(B281,Upgrade_Params!$A$4:$K$23,5,FALSE)^(C281-1),0)</f>
        <v/>
      </c>
      <c r="F281" s="17">
        <f>ROUND(VLOOKUP(B281,Upgrade_Params!$A$4:$K$23,6,FALSE)*VLOOKUP(B281,Upgrade_Params!$A$4:$K$23,7,FALSE)^(C281-1),0)</f>
        <v/>
      </c>
      <c r="G281" s="17">
        <f>SUMIFS($F$4:F281,$B$4:B281,B281)</f>
        <v/>
      </c>
      <c r="H281" s="19">
        <f>IFERROR(E281/F281,0)</f>
        <v/>
      </c>
      <c r="I281" s="20">
        <f>VLOOKUP(B281,Upgrade_Params!$A$4:$K$23,9,FALSE)</f>
        <v/>
      </c>
      <c r="J281" s="20">
        <f>VLOOKUP(B281,Upgrade_Params!$A$4:$K$23,10,FALSE)</f>
        <v/>
      </c>
      <c r="K281" s="26">
        <f>IF(D281&lt;=6,"Starter",IF(D281&lt;=15,"Midgame",IF(D281&lt;=28,"Late Midgame","Endgame")))</f>
        <v/>
      </c>
      <c r="L281" s="18">
        <f>IFERROR(F281/E281*1000,0)</f>
        <v/>
      </c>
    </row>
    <row r="282">
      <c r="A282" s="25">
        <f>VLOOKUP(B282,Upgrade_Params!$A$4:$K$23,2,FALSE)</f>
        <v/>
      </c>
      <c r="B282" s="20" t="inlineStr">
        <is>
          <t>Data Warehouse</t>
        </is>
      </c>
      <c r="C282" s="25" t="n">
        <v>9</v>
      </c>
      <c r="D282" s="25">
        <f>VLOOKUP(B282,Upgrade_Params!$A$4:$K$23,3,FALSE)</f>
        <v/>
      </c>
      <c r="E282" s="17">
        <f>ROUND(VLOOKUP(B282,Upgrade_Params!$A$4:$K$23,4,FALSE)*VLOOKUP(B282,Upgrade_Params!$A$4:$K$23,5,FALSE)^(C282-1),0)</f>
        <v/>
      </c>
      <c r="F282" s="17">
        <f>ROUND(VLOOKUP(B282,Upgrade_Params!$A$4:$K$23,6,FALSE)*VLOOKUP(B282,Upgrade_Params!$A$4:$K$23,7,FALSE)^(C282-1),0)</f>
        <v/>
      </c>
      <c r="G282" s="17">
        <f>SUMIFS($F$4:F282,$B$4:B282,B282)</f>
        <v/>
      </c>
      <c r="H282" s="19">
        <f>IFERROR(E282/F282,0)</f>
        <v/>
      </c>
      <c r="I282" s="20">
        <f>VLOOKUP(B282,Upgrade_Params!$A$4:$K$23,9,FALSE)</f>
        <v/>
      </c>
      <c r="J282" s="20">
        <f>VLOOKUP(B282,Upgrade_Params!$A$4:$K$23,10,FALSE)</f>
        <v/>
      </c>
      <c r="K282" s="26">
        <f>IF(D282&lt;=6,"Starter",IF(D282&lt;=15,"Midgame",IF(D282&lt;=28,"Late Midgame","Endgame")))</f>
        <v/>
      </c>
      <c r="L282" s="18">
        <f>IFERROR(F282/E282*1000,0)</f>
        <v/>
      </c>
    </row>
    <row r="283">
      <c r="A283" s="25">
        <f>VLOOKUP(B283,Upgrade_Params!$A$4:$K$23,2,FALSE)</f>
        <v/>
      </c>
      <c r="B283" s="20" t="inlineStr">
        <is>
          <t>Data Warehouse</t>
        </is>
      </c>
      <c r="C283" s="25" t="n">
        <v>10</v>
      </c>
      <c r="D283" s="25">
        <f>VLOOKUP(B283,Upgrade_Params!$A$4:$K$23,3,FALSE)</f>
        <v/>
      </c>
      <c r="E283" s="17">
        <f>ROUND(VLOOKUP(B283,Upgrade_Params!$A$4:$K$23,4,FALSE)*VLOOKUP(B283,Upgrade_Params!$A$4:$K$23,5,FALSE)^(C283-1),0)</f>
        <v/>
      </c>
      <c r="F283" s="17">
        <f>ROUND(VLOOKUP(B283,Upgrade_Params!$A$4:$K$23,6,FALSE)*VLOOKUP(B283,Upgrade_Params!$A$4:$K$23,7,FALSE)^(C283-1),0)</f>
        <v/>
      </c>
      <c r="G283" s="17">
        <f>SUMIFS($F$4:F283,$B$4:B283,B283)</f>
        <v/>
      </c>
      <c r="H283" s="19">
        <f>IFERROR(E283/F283,0)</f>
        <v/>
      </c>
      <c r="I283" s="20">
        <f>VLOOKUP(B283,Upgrade_Params!$A$4:$K$23,9,FALSE)</f>
        <v/>
      </c>
      <c r="J283" s="20">
        <f>VLOOKUP(B283,Upgrade_Params!$A$4:$K$23,10,FALSE)</f>
        <v/>
      </c>
      <c r="K283" s="26">
        <f>IF(D283&lt;=6,"Starter",IF(D283&lt;=15,"Midgame",IF(D283&lt;=28,"Late Midgame","Endgame")))</f>
        <v/>
      </c>
      <c r="L283" s="18">
        <f>IFERROR(F283/E283*1000,0)</f>
        <v/>
      </c>
    </row>
    <row r="284">
      <c r="A284" s="25">
        <f>VLOOKUP(B284,Upgrade_Params!$A$4:$K$23,2,FALSE)</f>
        <v/>
      </c>
      <c r="B284" s="20" t="inlineStr">
        <is>
          <t>Data Warehouse</t>
        </is>
      </c>
      <c r="C284" s="25" t="n">
        <v>11</v>
      </c>
      <c r="D284" s="25">
        <f>VLOOKUP(B284,Upgrade_Params!$A$4:$K$23,3,FALSE)</f>
        <v/>
      </c>
      <c r="E284" s="17">
        <f>ROUND(VLOOKUP(B284,Upgrade_Params!$A$4:$K$23,4,FALSE)*VLOOKUP(B284,Upgrade_Params!$A$4:$K$23,5,FALSE)^(C284-1),0)</f>
        <v/>
      </c>
      <c r="F284" s="17">
        <f>ROUND(VLOOKUP(B284,Upgrade_Params!$A$4:$K$23,6,FALSE)*VLOOKUP(B284,Upgrade_Params!$A$4:$K$23,7,FALSE)^(C284-1),0)</f>
        <v/>
      </c>
      <c r="G284" s="17">
        <f>SUMIFS($F$4:F284,$B$4:B284,B284)</f>
        <v/>
      </c>
      <c r="H284" s="19">
        <f>IFERROR(E284/F284,0)</f>
        <v/>
      </c>
      <c r="I284" s="20">
        <f>VLOOKUP(B284,Upgrade_Params!$A$4:$K$23,9,FALSE)</f>
        <v/>
      </c>
      <c r="J284" s="20">
        <f>VLOOKUP(B284,Upgrade_Params!$A$4:$K$23,10,FALSE)</f>
        <v/>
      </c>
      <c r="K284" s="26">
        <f>IF(D284&lt;=6,"Starter",IF(D284&lt;=15,"Midgame",IF(D284&lt;=28,"Late Midgame","Endgame")))</f>
        <v/>
      </c>
      <c r="L284" s="18">
        <f>IFERROR(F284/E284*1000,0)</f>
        <v/>
      </c>
    </row>
    <row r="285">
      <c r="A285" s="25">
        <f>VLOOKUP(B285,Upgrade_Params!$A$4:$K$23,2,FALSE)</f>
        <v/>
      </c>
      <c r="B285" s="20" t="inlineStr">
        <is>
          <t>Data Warehouse</t>
        </is>
      </c>
      <c r="C285" s="25" t="n">
        <v>12</v>
      </c>
      <c r="D285" s="25">
        <f>VLOOKUP(B285,Upgrade_Params!$A$4:$K$23,3,FALSE)</f>
        <v/>
      </c>
      <c r="E285" s="17">
        <f>ROUND(VLOOKUP(B285,Upgrade_Params!$A$4:$K$23,4,FALSE)*VLOOKUP(B285,Upgrade_Params!$A$4:$K$23,5,FALSE)^(C285-1),0)</f>
        <v/>
      </c>
      <c r="F285" s="17">
        <f>ROUND(VLOOKUP(B285,Upgrade_Params!$A$4:$K$23,6,FALSE)*VLOOKUP(B285,Upgrade_Params!$A$4:$K$23,7,FALSE)^(C285-1),0)</f>
        <v/>
      </c>
      <c r="G285" s="17">
        <f>SUMIFS($F$4:F285,$B$4:B285,B285)</f>
        <v/>
      </c>
      <c r="H285" s="19">
        <f>IFERROR(E285/F285,0)</f>
        <v/>
      </c>
      <c r="I285" s="20">
        <f>VLOOKUP(B285,Upgrade_Params!$A$4:$K$23,9,FALSE)</f>
        <v/>
      </c>
      <c r="J285" s="20">
        <f>VLOOKUP(B285,Upgrade_Params!$A$4:$K$23,10,FALSE)</f>
        <v/>
      </c>
      <c r="K285" s="26">
        <f>IF(D285&lt;=6,"Starter",IF(D285&lt;=15,"Midgame",IF(D285&lt;=28,"Late Midgame","Endgame")))</f>
        <v/>
      </c>
      <c r="L285" s="18">
        <f>IFERROR(F285/E285*1000,0)</f>
        <v/>
      </c>
    </row>
    <row r="286">
      <c r="A286" s="25">
        <f>VLOOKUP(B286,Upgrade_Params!$A$4:$K$23,2,FALSE)</f>
        <v/>
      </c>
      <c r="B286" s="20" t="inlineStr">
        <is>
          <t>Data Warehouse</t>
        </is>
      </c>
      <c r="C286" s="25" t="n">
        <v>13</v>
      </c>
      <c r="D286" s="25">
        <f>VLOOKUP(B286,Upgrade_Params!$A$4:$K$23,3,FALSE)</f>
        <v/>
      </c>
      <c r="E286" s="17">
        <f>ROUND(VLOOKUP(B286,Upgrade_Params!$A$4:$K$23,4,FALSE)*VLOOKUP(B286,Upgrade_Params!$A$4:$K$23,5,FALSE)^(C286-1),0)</f>
        <v/>
      </c>
      <c r="F286" s="17">
        <f>ROUND(VLOOKUP(B286,Upgrade_Params!$A$4:$K$23,6,FALSE)*VLOOKUP(B286,Upgrade_Params!$A$4:$K$23,7,FALSE)^(C286-1),0)</f>
        <v/>
      </c>
      <c r="G286" s="17">
        <f>SUMIFS($F$4:F286,$B$4:B286,B286)</f>
        <v/>
      </c>
      <c r="H286" s="19">
        <f>IFERROR(E286/F286,0)</f>
        <v/>
      </c>
      <c r="I286" s="20">
        <f>VLOOKUP(B286,Upgrade_Params!$A$4:$K$23,9,FALSE)</f>
        <v/>
      </c>
      <c r="J286" s="20">
        <f>VLOOKUP(B286,Upgrade_Params!$A$4:$K$23,10,FALSE)</f>
        <v/>
      </c>
      <c r="K286" s="26">
        <f>IF(D286&lt;=6,"Starter",IF(D286&lt;=15,"Midgame",IF(D286&lt;=28,"Late Midgame","Endgame")))</f>
        <v/>
      </c>
      <c r="L286" s="18">
        <f>IFERROR(F286/E286*1000,0)</f>
        <v/>
      </c>
    </row>
    <row r="287">
      <c r="A287" s="25">
        <f>VLOOKUP(B287,Upgrade_Params!$A$4:$K$23,2,FALSE)</f>
        <v/>
      </c>
      <c r="B287" s="20" t="inlineStr">
        <is>
          <t>Data Warehouse</t>
        </is>
      </c>
      <c r="C287" s="25" t="n">
        <v>14</v>
      </c>
      <c r="D287" s="25">
        <f>VLOOKUP(B287,Upgrade_Params!$A$4:$K$23,3,FALSE)</f>
        <v/>
      </c>
      <c r="E287" s="17">
        <f>ROUND(VLOOKUP(B287,Upgrade_Params!$A$4:$K$23,4,FALSE)*VLOOKUP(B287,Upgrade_Params!$A$4:$K$23,5,FALSE)^(C287-1),0)</f>
        <v/>
      </c>
      <c r="F287" s="17">
        <f>ROUND(VLOOKUP(B287,Upgrade_Params!$A$4:$K$23,6,FALSE)*VLOOKUP(B287,Upgrade_Params!$A$4:$K$23,7,FALSE)^(C287-1),0)</f>
        <v/>
      </c>
      <c r="G287" s="17">
        <f>SUMIFS($F$4:F287,$B$4:B287,B287)</f>
        <v/>
      </c>
      <c r="H287" s="19">
        <f>IFERROR(E287/F287,0)</f>
        <v/>
      </c>
      <c r="I287" s="20">
        <f>VLOOKUP(B287,Upgrade_Params!$A$4:$K$23,9,FALSE)</f>
        <v/>
      </c>
      <c r="J287" s="20">
        <f>VLOOKUP(B287,Upgrade_Params!$A$4:$K$23,10,FALSE)</f>
        <v/>
      </c>
      <c r="K287" s="26">
        <f>IF(D287&lt;=6,"Starter",IF(D287&lt;=15,"Midgame",IF(D287&lt;=28,"Late Midgame","Endgame")))</f>
        <v/>
      </c>
      <c r="L287" s="18">
        <f>IFERROR(F287/E287*1000,0)</f>
        <v/>
      </c>
    </row>
    <row r="288">
      <c r="A288" s="25">
        <f>VLOOKUP(B288,Upgrade_Params!$A$4:$K$23,2,FALSE)</f>
        <v/>
      </c>
      <c r="B288" s="20" t="inlineStr">
        <is>
          <t>Data Warehouse</t>
        </is>
      </c>
      <c r="C288" s="25" t="n">
        <v>15</v>
      </c>
      <c r="D288" s="25">
        <f>VLOOKUP(B288,Upgrade_Params!$A$4:$K$23,3,FALSE)</f>
        <v/>
      </c>
      <c r="E288" s="17">
        <f>ROUND(VLOOKUP(B288,Upgrade_Params!$A$4:$K$23,4,FALSE)*VLOOKUP(B288,Upgrade_Params!$A$4:$K$23,5,FALSE)^(C288-1),0)</f>
        <v/>
      </c>
      <c r="F288" s="17">
        <f>ROUND(VLOOKUP(B288,Upgrade_Params!$A$4:$K$23,6,FALSE)*VLOOKUP(B288,Upgrade_Params!$A$4:$K$23,7,FALSE)^(C288-1),0)</f>
        <v/>
      </c>
      <c r="G288" s="17">
        <f>SUMIFS($F$4:F288,$B$4:B288,B288)</f>
        <v/>
      </c>
      <c r="H288" s="19">
        <f>IFERROR(E288/F288,0)</f>
        <v/>
      </c>
      <c r="I288" s="20">
        <f>VLOOKUP(B288,Upgrade_Params!$A$4:$K$23,9,FALSE)</f>
        <v/>
      </c>
      <c r="J288" s="20">
        <f>VLOOKUP(B288,Upgrade_Params!$A$4:$K$23,10,FALSE)</f>
        <v/>
      </c>
      <c r="K288" s="26">
        <f>IF(D288&lt;=6,"Starter",IF(D288&lt;=15,"Midgame",IF(D288&lt;=28,"Late Midgame","Endgame")))</f>
        <v/>
      </c>
      <c r="L288" s="18">
        <f>IFERROR(F288/E288*1000,0)</f>
        <v/>
      </c>
    </row>
    <row r="289">
      <c r="A289" s="25">
        <f>VLOOKUP(B289,Upgrade_Params!$A$4:$K$23,2,FALSE)</f>
        <v/>
      </c>
      <c r="B289" s="20" t="inlineStr">
        <is>
          <t>Whale Analytics</t>
        </is>
      </c>
      <c r="C289" s="25" t="n">
        <v>1</v>
      </c>
      <c r="D289" s="25">
        <f>VLOOKUP(B289,Upgrade_Params!$A$4:$K$23,3,FALSE)</f>
        <v/>
      </c>
      <c r="E289" s="17">
        <f>ROUND(VLOOKUP(B289,Upgrade_Params!$A$4:$K$23,4,FALSE)*VLOOKUP(B289,Upgrade_Params!$A$4:$K$23,5,FALSE)^(C289-1),0)</f>
        <v/>
      </c>
      <c r="F289" s="17">
        <f>ROUND(VLOOKUP(B289,Upgrade_Params!$A$4:$K$23,6,FALSE)*VLOOKUP(B289,Upgrade_Params!$A$4:$K$23,7,FALSE)^(C289-1),0)</f>
        <v/>
      </c>
      <c r="G289" s="17">
        <f>SUMIFS($F$4:F289,$B$4:B289,B289)</f>
        <v/>
      </c>
      <c r="H289" s="19">
        <f>IFERROR(E289/F289,0)</f>
        <v/>
      </c>
      <c r="I289" s="20">
        <f>VLOOKUP(B289,Upgrade_Params!$A$4:$K$23,9,FALSE)</f>
        <v/>
      </c>
      <c r="J289" s="20">
        <f>VLOOKUP(B289,Upgrade_Params!$A$4:$K$23,10,FALSE)</f>
        <v/>
      </c>
      <c r="K289" s="26">
        <f>IF(D289&lt;=6,"Starter",IF(D289&lt;=15,"Midgame",IF(D289&lt;=28,"Late Midgame","Endgame")))</f>
        <v/>
      </c>
      <c r="L289" s="18">
        <f>IFERROR(F289/E289*1000,0)</f>
        <v/>
      </c>
    </row>
    <row r="290">
      <c r="A290" s="25">
        <f>VLOOKUP(B290,Upgrade_Params!$A$4:$K$23,2,FALSE)</f>
        <v/>
      </c>
      <c r="B290" s="20" t="inlineStr">
        <is>
          <t>Whale Analytics</t>
        </is>
      </c>
      <c r="C290" s="25" t="n">
        <v>2</v>
      </c>
      <c r="D290" s="25">
        <f>VLOOKUP(B290,Upgrade_Params!$A$4:$K$23,3,FALSE)</f>
        <v/>
      </c>
      <c r="E290" s="17">
        <f>ROUND(VLOOKUP(B290,Upgrade_Params!$A$4:$K$23,4,FALSE)*VLOOKUP(B290,Upgrade_Params!$A$4:$K$23,5,FALSE)^(C290-1),0)</f>
        <v/>
      </c>
      <c r="F290" s="17">
        <f>ROUND(VLOOKUP(B290,Upgrade_Params!$A$4:$K$23,6,FALSE)*VLOOKUP(B290,Upgrade_Params!$A$4:$K$23,7,FALSE)^(C290-1),0)</f>
        <v/>
      </c>
      <c r="G290" s="17">
        <f>SUMIFS($F$4:F290,$B$4:B290,B290)</f>
        <v/>
      </c>
      <c r="H290" s="19">
        <f>IFERROR(E290/F290,0)</f>
        <v/>
      </c>
      <c r="I290" s="20">
        <f>VLOOKUP(B290,Upgrade_Params!$A$4:$K$23,9,FALSE)</f>
        <v/>
      </c>
      <c r="J290" s="20">
        <f>VLOOKUP(B290,Upgrade_Params!$A$4:$K$23,10,FALSE)</f>
        <v/>
      </c>
      <c r="K290" s="26">
        <f>IF(D290&lt;=6,"Starter",IF(D290&lt;=15,"Midgame",IF(D290&lt;=28,"Late Midgame","Endgame")))</f>
        <v/>
      </c>
      <c r="L290" s="18">
        <f>IFERROR(F290/E290*1000,0)</f>
        <v/>
      </c>
    </row>
    <row r="291">
      <c r="A291" s="25">
        <f>VLOOKUP(B291,Upgrade_Params!$A$4:$K$23,2,FALSE)</f>
        <v/>
      </c>
      <c r="B291" s="20" t="inlineStr">
        <is>
          <t>Whale Analytics</t>
        </is>
      </c>
      <c r="C291" s="25" t="n">
        <v>3</v>
      </c>
      <c r="D291" s="25">
        <f>VLOOKUP(B291,Upgrade_Params!$A$4:$K$23,3,FALSE)</f>
        <v/>
      </c>
      <c r="E291" s="17">
        <f>ROUND(VLOOKUP(B291,Upgrade_Params!$A$4:$K$23,4,FALSE)*VLOOKUP(B291,Upgrade_Params!$A$4:$K$23,5,FALSE)^(C291-1),0)</f>
        <v/>
      </c>
      <c r="F291" s="17">
        <f>ROUND(VLOOKUP(B291,Upgrade_Params!$A$4:$K$23,6,FALSE)*VLOOKUP(B291,Upgrade_Params!$A$4:$K$23,7,FALSE)^(C291-1),0)</f>
        <v/>
      </c>
      <c r="G291" s="17">
        <f>SUMIFS($F$4:F291,$B$4:B291,B291)</f>
        <v/>
      </c>
      <c r="H291" s="19">
        <f>IFERROR(E291/F291,0)</f>
        <v/>
      </c>
      <c r="I291" s="20">
        <f>VLOOKUP(B291,Upgrade_Params!$A$4:$K$23,9,FALSE)</f>
        <v/>
      </c>
      <c r="J291" s="20">
        <f>VLOOKUP(B291,Upgrade_Params!$A$4:$K$23,10,FALSE)</f>
        <v/>
      </c>
      <c r="K291" s="26">
        <f>IF(D291&lt;=6,"Starter",IF(D291&lt;=15,"Midgame",IF(D291&lt;=28,"Late Midgame","Endgame")))</f>
        <v/>
      </c>
      <c r="L291" s="18">
        <f>IFERROR(F291/E291*1000,0)</f>
        <v/>
      </c>
    </row>
    <row r="292">
      <c r="A292" s="25">
        <f>VLOOKUP(B292,Upgrade_Params!$A$4:$K$23,2,FALSE)</f>
        <v/>
      </c>
      <c r="B292" s="20" t="inlineStr">
        <is>
          <t>Whale Analytics</t>
        </is>
      </c>
      <c r="C292" s="25" t="n">
        <v>4</v>
      </c>
      <c r="D292" s="25">
        <f>VLOOKUP(B292,Upgrade_Params!$A$4:$K$23,3,FALSE)</f>
        <v/>
      </c>
      <c r="E292" s="17">
        <f>ROUND(VLOOKUP(B292,Upgrade_Params!$A$4:$K$23,4,FALSE)*VLOOKUP(B292,Upgrade_Params!$A$4:$K$23,5,FALSE)^(C292-1),0)</f>
        <v/>
      </c>
      <c r="F292" s="17">
        <f>ROUND(VLOOKUP(B292,Upgrade_Params!$A$4:$K$23,6,FALSE)*VLOOKUP(B292,Upgrade_Params!$A$4:$K$23,7,FALSE)^(C292-1),0)</f>
        <v/>
      </c>
      <c r="G292" s="17">
        <f>SUMIFS($F$4:F292,$B$4:B292,B292)</f>
        <v/>
      </c>
      <c r="H292" s="19">
        <f>IFERROR(E292/F292,0)</f>
        <v/>
      </c>
      <c r="I292" s="20">
        <f>VLOOKUP(B292,Upgrade_Params!$A$4:$K$23,9,FALSE)</f>
        <v/>
      </c>
      <c r="J292" s="20">
        <f>VLOOKUP(B292,Upgrade_Params!$A$4:$K$23,10,FALSE)</f>
        <v/>
      </c>
      <c r="K292" s="26">
        <f>IF(D292&lt;=6,"Starter",IF(D292&lt;=15,"Midgame",IF(D292&lt;=28,"Late Midgame","Endgame")))</f>
        <v/>
      </c>
      <c r="L292" s="18">
        <f>IFERROR(F292/E292*1000,0)</f>
        <v/>
      </c>
    </row>
    <row r="293">
      <c r="A293" s="25">
        <f>VLOOKUP(B293,Upgrade_Params!$A$4:$K$23,2,FALSE)</f>
        <v/>
      </c>
      <c r="B293" s="20" t="inlineStr">
        <is>
          <t>Whale Analytics</t>
        </is>
      </c>
      <c r="C293" s="25" t="n">
        <v>5</v>
      </c>
      <c r="D293" s="25">
        <f>VLOOKUP(B293,Upgrade_Params!$A$4:$K$23,3,FALSE)</f>
        <v/>
      </c>
      <c r="E293" s="17">
        <f>ROUND(VLOOKUP(B293,Upgrade_Params!$A$4:$K$23,4,FALSE)*VLOOKUP(B293,Upgrade_Params!$A$4:$K$23,5,FALSE)^(C293-1),0)</f>
        <v/>
      </c>
      <c r="F293" s="17">
        <f>ROUND(VLOOKUP(B293,Upgrade_Params!$A$4:$K$23,6,FALSE)*VLOOKUP(B293,Upgrade_Params!$A$4:$K$23,7,FALSE)^(C293-1),0)</f>
        <v/>
      </c>
      <c r="G293" s="17">
        <f>SUMIFS($F$4:F293,$B$4:B293,B293)</f>
        <v/>
      </c>
      <c r="H293" s="19">
        <f>IFERROR(E293/F293,0)</f>
        <v/>
      </c>
      <c r="I293" s="20">
        <f>VLOOKUP(B293,Upgrade_Params!$A$4:$K$23,9,FALSE)</f>
        <v/>
      </c>
      <c r="J293" s="20">
        <f>VLOOKUP(B293,Upgrade_Params!$A$4:$K$23,10,FALSE)</f>
        <v/>
      </c>
      <c r="K293" s="26">
        <f>IF(D293&lt;=6,"Starter",IF(D293&lt;=15,"Midgame",IF(D293&lt;=28,"Late Midgame","Endgame")))</f>
        <v/>
      </c>
      <c r="L293" s="18">
        <f>IFERROR(F293/E293*1000,0)</f>
        <v/>
      </c>
    </row>
    <row r="294">
      <c r="A294" s="25">
        <f>VLOOKUP(B294,Upgrade_Params!$A$4:$K$23,2,FALSE)</f>
        <v/>
      </c>
      <c r="B294" s="20" t="inlineStr">
        <is>
          <t>Whale Analytics</t>
        </is>
      </c>
      <c r="C294" s="25" t="n">
        <v>6</v>
      </c>
      <c r="D294" s="25">
        <f>VLOOKUP(B294,Upgrade_Params!$A$4:$K$23,3,FALSE)</f>
        <v/>
      </c>
      <c r="E294" s="17">
        <f>ROUND(VLOOKUP(B294,Upgrade_Params!$A$4:$K$23,4,FALSE)*VLOOKUP(B294,Upgrade_Params!$A$4:$K$23,5,FALSE)^(C294-1),0)</f>
        <v/>
      </c>
      <c r="F294" s="17">
        <f>ROUND(VLOOKUP(B294,Upgrade_Params!$A$4:$K$23,6,FALSE)*VLOOKUP(B294,Upgrade_Params!$A$4:$K$23,7,FALSE)^(C294-1),0)</f>
        <v/>
      </c>
      <c r="G294" s="17">
        <f>SUMIFS($F$4:F294,$B$4:B294,B294)</f>
        <v/>
      </c>
      <c r="H294" s="19">
        <f>IFERROR(E294/F294,0)</f>
        <v/>
      </c>
      <c r="I294" s="20">
        <f>VLOOKUP(B294,Upgrade_Params!$A$4:$K$23,9,FALSE)</f>
        <v/>
      </c>
      <c r="J294" s="20">
        <f>VLOOKUP(B294,Upgrade_Params!$A$4:$K$23,10,FALSE)</f>
        <v/>
      </c>
      <c r="K294" s="26">
        <f>IF(D294&lt;=6,"Starter",IF(D294&lt;=15,"Midgame",IF(D294&lt;=28,"Late Midgame","Endgame")))</f>
        <v/>
      </c>
      <c r="L294" s="18">
        <f>IFERROR(F294/E294*1000,0)</f>
        <v/>
      </c>
    </row>
    <row r="295">
      <c r="A295" s="25">
        <f>VLOOKUP(B295,Upgrade_Params!$A$4:$K$23,2,FALSE)</f>
        <v/>
      </c>
      <c r="B295" s="20" t="inlineStr">
        <is>
          <t>Whale Analytics</t>
        </is>
      </c>
      <c r="C295" s="25" t="n">
        <v>7</v>
      </c>
      <c r="D295" s="25">
        <f>VLOOKUP(B295,Upgrade_Params!$A$4:$K$23,3,FALSE)</f>
        <v/>
      </c>
      <c r="E295" s="17">
        <f>ROUND(VLOOKUP(B295,Upgrade_Params!$A$4:$K$23,4,FALSE)*VLOOKUP(B295,Upgrade_Params!$A$4:$K$23,5,FALSE)^(C295-1),0)</f>
        <v/>
      </c>
      <c r="F295" s="17">
        <f>ROUND(VLOOKUP(B295,Upgrade_Params!$A$4:$K$23,6,FALSE)*VLOOKUP(B295,Upgrade_Params!$A$4:$K$23,7,FALSE)^(C295-1),0)</f>
        <v/>
      </c>
      <c r="G295" s="17">
        <f>SUMIFS($F$4:F295,$B$4:B295,B295)</f>
        <v/>
      </c>
      <c r="H295" s="19">
        <f>IFERROR(E295/F295,0)</f>
        <v/>
      </c>
      <c r="I295" s="20">
        <f>VLOOKUP(B295,Upgrade_Params!$A$4:$K$23,9,FALSE)</f>
        <v/>
      </c>
      <c r="J295" s="20">
        <f>VLOOKUP(B295,Upgrade_Params!$A$4:$K$23,10,FALSE)</f>
        <v/>
      </c>
      <c r="K295" s="26">
        <f>IF(D295&lt;=6,"Starter",IF(D295&lt;=15,"Midgame",IF(D295&lt;=28,"Late Midgame","Endgame")))</f>
        <v/>
      </c>
      <c r="L295" s="18">
        <f>IFERROR(F295/E295*1000,0)</f>
        <v/>
      </c>
    </row>
    <row r="296">
      <c r="A296" s="25">
        <f>VLOOKUP(B296,Upgrade_Params!$A$4:$K$23,2,FALSE)</f>
        <v/>
      </c>
      <c r="B296" s="20" t="inlineStr">
        <is>
          <t>Whale Analytics</t>
        </is>
      </c>
      <c r="C296" s="25" t="n">
        <v>8</v>
      </c>
      <c r="D296" s="25">
        <f>VLOOKUP(B296,Upgrade_Params!$A$4:$K$23,3,FALSE)</f>
        <v/>
      </c>
      <c r="E296" s="17">
        <f>ROUND(VLOOKUP(B296,Upgrade_Params!$A$4:$K$23,4,FALSE)*VLOOKUP(B296,Upgrade_Params!$A$4:$K$23,5,FALSE)^(C296-1),0)</f>
        <v/>
      </c>
      <c r="F296" s="17">
        <f>ROUND(VLOOKUP(B296,Upgrade_Params!$A$4:$K$23,6,FALSE)*VLOOKUP(B296,Upgrade_Params!$A$4:$K$23,7,FALSE)^(C296-1),0)</f>
        <v/>
      </c>
      <c r="G296" s="17">
        <f>SUMIFS($F$4:F296,$B$4:B296,B296)</f>
        <v/>
      </c>
      <c r="H296" s="19">
        <f>IFERROR(E296/F296,0)</f>
        <v/>
      </c>
      <c r="I296" s="20">
        <f>VLOOKUP(B296,Upgrade_Params!$A$4:$K$23,9,FALSE)</f>
        <v/>
      </c>
      <c r="J296" s="20">
        <f>VLOOKUP(B296,Upgrade_Params!$A$4:$K$23,10,FALSE)</f>
        <v/>
      </c>
      <c r="K296" s="26">
        <f>IF(D296&lt;=6,"Starter",IF(D296&lt;=15,"Midgame",IF(D296&lt;=28,"Late Midgame","Endgame")))</f>
        <v/>
      </c>
      <c r="L296" s="18">
        <f>IFERROR(F296/E296*1000,0)</f>
        <v/>
      </c>
    </row>
    <row r="297">
      <c r="A297" s="25">
        <f>VLOOKUP(B297,Upgrade_Params!$A$4:$K$23,2,FALSE)</f>
        <v/>
      </c>
      <c r="B297" s="20" t="inlineStr">
        <is>
          <t>Whale Analytics</t>
        </is>
      </c>
      <c r="C297" s="25" t="n">
        <v>9</v>
      </c>
      <c r="D297" s="25">
        <f>VLOOKUP(B297,Upgrade_Params!$A$4:$K$23,3,FALSE)</f>
        <v/>
      </c>
      <c r="E297" s="17">
        <f>ROUND(VLOOKUP(B297,Upgrade_Params!$A$4:$K$23,4,FALSE)*VLOOKUP(B297,Upgrade_Params!$A$4:$K$23,5,FALSE)^(C297-1),0)</f>
        <v/>
      </c>
      <c r="F297" s="17">
        <f>ROUND(VLOOKUP(B297,Upgrade_Params!$A$4:$K$23,6,FALSE)*VLOOKUP(B297,Upgrade_Params!$A$4:$K$23,7,FALSE)^(C297-1),0)</f>
        <v/>
      </c>
      <c r="G297" s="17">
        <f>SUMIFS($F$4:F297,$B$4:B297,B297)</f>
        <v/>
      </c>
      <c r="H297" s="19">
        <f>IFERROR(E297/F297,0)</f>
        <v/>
      </c>
      <c r="I297" s="20">
        <f>VLOOKUP(B297,Upgrade_Params!$A$4:$K$23,9,FALSE)</f>
        <v/>
      </c>
      <c r="J297" s="20">
        <f>VLOOKUP(B297,Upgrade_Params!$A$4:$K$23,10,FALSE)</f>
        <v/>
      </c>
      <c r="K297" s="26">
        <f>IF(D297&lt;=6,"Starter",IF(D297&lt;=15,"Midgame",IF(D297&lt;=28,"Late Midgame","Endgame")))</f>
        <v/>
      </c>
      <c r="L297" s="18">
        <f>IFERROR(F297/E297*1000,0)</f>
        <v/>
      </c>
    </row>
    <row r="298">
      <c r="A298" s="25">
        <f>VLOOKUP(B298,Upgrade_Params!$A$4:$K$23,2,FALSE)</f>
        <v/>
      </c>
      <c r="B298" s="20" t="inlineStr">
        <is>
          <t>Whale Analytics</t>
        </is>
      </c>
      <c r="C298" s="25" t="n">
        <v>10</v>
      </c>
      <c r="D298" s="25">
        <f>VLOOKUP(B298,Upgrade_Params!$A$4:$K$23,3,FALSE)</f>
        <v/>
      </c>
      <c r="E298" s="17">
        <f>ROUND(VLOOKUP(B298,Upgrade_Params!$A$4:$K$23,4,FALSE)*VLOOKUP(B298,Upgrade_Params!$A$4:$K$23,5,FALSE)^(C298-1),0)</f>
        <v/>
      </c>
      <c r="F298" s="17">
        <f>ROUND(VLOOKUP(B298,Upgrade_Params!$A$4:$K$23,6,FALSE)*VLOOKUP(B298,Upgrade_Params!$A$4:$K$23,7,FALSE)^(C298-1),0)</f>
        <v/>
      </c>
      <c r="G298" s="17">
        <f>SUMIFS($F$4:F298,$B$4:B298,B298)</f>
        <v/>
      </c>
      <c r="H298" s="19">
        <f>IFERROR(E298/F298,0)</f>
        <v/>
      </c>
      <c r="I298" s="20">
        <f>VLOOKUP(B298,Upgrade_Params!$A$4:$K$23,9,FALSE)</f>
        <v/>
      </c>
      <c r="J298" s="20">
        <f>VLOOKUP(B298,Upgrade_Params!$A$4:$K$23,10,FALSE)</f>
        <v/>
      </c>
      <c r="K298" s="26">
        <f>IF(D298&lt;=6,"Starter",IF(D298&lt;=15,"Midgame",IF(D298&lt;=28,"Late Midgame","Endgame")))</f>
        <v/>
      </c>
      <c r="L298" s="18">
        <f>IFERROR(F298/E298*1000,0)</f>
        <v/>
      </c>
    </row>
    <row r="299">
      <c r="A299" s="25">
        <f>VLOOKUP(B299,Upgrade_Params!$A$4:$K$23,2,FALSE)</f>
        <v/>
      </c>
      <c r="B299" s="20" t="inlineStr">
        <is>
          <t>Whale Analytics</t>
        </is>
      </c>
      <c r="C299" s="25" t="n">
        <v>11</v>
      </c>
      <c r="D299" s="25">
        <f>VLOOKUP(B299,Upgrade_Params!$A$4:$K$23,3,FALSE)</f>
        <v/>
      </c>
      <c r="E299" s="17">
        <f>ROUND(VLOOKUP(B299,Upgrade_Params!$A$4:$K$23,4,FALSE)*VLOOKUP(B299,Upgrade_Params!$A$4:$K$23,5,FALSE)^(C299-1),0)</f>
        <v/>
      </c>
      <c r="F299" s="17">
        <f>ROUND(VLOOKUP(B299,Upgrade_Params!$A$4:$K$23,6,FALSE)*VLOOKUP(B299,Upgrade_Params!$A$4:$K$23,7,FALSE)^(C299-1),0)</f>
        <v/>
      </c>
      <c r="G299" s="17">
        <f>SUMIFS($F$4:F299,$B$4:B299,B299)</f>
        <v/>
      </c>
      <c r="H299" s="19">
        <f>IFERROR(E299/F299,0)</f>
        <v/>
      </c>
      <c r="I299" s="20">
        <f>VLOOKUP(B299,Upgrade_Params!$A$4:$K$23,9,FALSE)</f>
        <v/>
      </c>
      <c r="J299" s="20">
        <f>VLOOKUP(B299,Upgrade_Params!$A$4:$K$23,10,FALSE)</f>
        <v/>
      </c>
      <c r="K299" s="26">
        <f>IF(D299&lt;=6,"Starter",IF(D299&lt;=15,"Midgame",IF(D299&lt;=28,"Late Midgame","Endgame")))</f>
        <v/>
      </c>
      <c r="L299" s="18">
        <f>IFERROR(F299/E299*1000,0)</f>
        <v/>
      </c>
    </row>
    <row r="300">
      <c r="A300" s="25">
        <f>VLOOKUP(B300,Upgrade_Params!$A$4:$K$23,2,FALSE)</f>
        <v/>
      </c>
      <c r="B300" s="20" t="inlineStr">
        <is>
          <t>Whale Analytics</t>
        </is>
      </c>
      <c r="C300" s="25" t="n">
        <v>12</v>
      </c>
      <c r="D300" s="25">
        <f>VLOOKUP(B300,Upgrade_Params!$A$4:$K$23,3,FALSE)</f>
        <v/>
      </c>
      <c r="E300" s="17">
        <f>ROUND(VLOOKUP(B300,Upgrade_Params!$A$4:$K$23,4,FALSE)*VLOOKUP(B300,Upgrade_Params!$A$4:$K$23,5,FALSE)^(C300-1),0)</f>
        <v/>
      </c>
      <c r="F300" s="17">
        <f>ROUND(VLOOKUP(B300,Upgrade_Params!$A$4:$K$23,6,FALSE)*VLOOKUP(B300,Upgrade_Params!$A$4:$K$23,7,FALSE)^(C300-1),0)</f>
        <v/>
      </c>
      <c r="G300" s="17">
        <f>SUMIFS($F$4:F300,$B$4:B300,B300)</f>
        <v/>
      </c>
      <c r="H300" s="19">
        <f>IFERROR(E300/F300,0)</f>
        <v/>
      </c>
      <c r="I300" s="20">
        <f>VLOOKUP(B300,Upgrade_Params!$A$4:$K$23,9,FALSE)</f>
        <v/>
      </c>
      <c r="J300" s="20">
        <f>VLOOKUP(B300,Upgrade_Params!$A$4:$K$23,10,FALSE)</f>
        <v/>
      </c>
      <c r="K300" s="26">
        <f>IF(D300&lt;=6,"Starter",IF(D300&lt;=15,"Midgame",IF(D300&lt;=28,"Late Midgame","Endgame")))</f>
        <v/>
      </c>
      <c r="L300" s="18">
        <f>IFERROR(F300/E300*1000,0)</f>
        <v/>
      </c>
    </row>
    <row r="301">
      <c r="A301" s="25">
        <f>VLOOKUP(B301,Upgrade_Params!$A$4:$K$23,2,FALSE)</f>
        <v/>
      </c>
      <c r="B301" s="20" t="inlineStr">
        <is>
          <t>Whale Analytics</t>
        </is>
      </c>
      <c r="C301" s="25" t="n">
        <v>13</v>
      </c>
      <c r="D301" s="25">
        <f>VLOOKUP(B301,Upgrade_Params!$A$4:$K$23,3,FALSE)</f>
        <v/>
      </c>
      <c r="E301" s="17">
        <f>ROUND(VLOOKUP(B301,Upgrade_Params!$A$4:$K$23,4,FALSE)*VLOOKUP(B301,Upgrade_Params!$A$4:$K$23,5,FALSE)^(C301-1),0)</f>
        <v/>
      </c>
      <c r="F301" s="17">
        <f>ROUND(VLOOKUP(B301,Upgrade_Params!$A$4:$K$23,6,FALSE)*VLOOKUP(B301,Upgrade_Params!$A$4:$K$23,7,FALSE)^(C301-1),0)</f>
        <v/>
      </c>
      <c r="G301" s="17">
        <f>SUMIFS($F$4:F301,$B$4:B301,B301)</f>
        <v/>
      </c>
      <c r="H301" s="19">
        <f>IFERROR(E301/F301,0)</f>
        <v/>
      </c>
      <c r="I301" s="20">
        <f>VLOOKUP(B301,Upgrade_Params!$A$4:$K$23,9,FALSE)</f>
        <v/>
      </c>
      <c r="J301" s="20">
        <f>VLOOKUP(B301,Upgrade_Params!$A$4:$K$23,10,FALSE)</f>
        <v/>
      </c>
      <c r="K301" s="26">
        <f>IF(D301&lt;=6,"Starter",IF(D301&lt;=15,"Midgame",IF(D301&lt;=28,"Late Midgame","Endgame")))</f>
        <v/>
      </c>
      <c r="L301" s="18">
        <f>IFERROR(F301/E301*1000,0)</f>
        <v/>
      </c>
    </row>
    <row r="302">
      <c r="A302" s="25">
        <f>VLOOKUP(B302,Upgrade_Params!$A$4:$K$23,2,FALSE)</f>
        <v/>
      </c>
      <c r="B302" s="20" t="inlineStr">
        <is>
          <t>Whale Analytics</t>
        </is>
      </c>
      <c r="C302" s="25" t="n">
        <v>14</v>
      </c>
      <c r="D302" s="25">
        <f>VLOOKUP(B302,Upgrade_Params!$A$4:$K$23,3,FALSE)</f>
        <v/>
      </c>
      <c r="E302" s="17">
        <f>ROUND(VLOOKUP(B302,Upgrade_Params!$A$4:$K$23,4,FALSE)*VLOOKUP(B302,Upgrade_Params!$A$4:$K$23,5,FALSE)^(C302-1),0)</f>
        <v/>
      </c>
      <c r="F302" s="17">
        <f>ROUND(VLOOKUP(B302,Upgrade_Params!$A$4:$K$23,6,FALSE)*VLOOKUP(B302,Upgrade_Params!$A$4:$K$23,7,FALSE)^(C302-1),0)</f>
        <v/>
      </c>
      <c r="G302" s="17">
        <f>SUMIFS($F$4:F302,$B$4:B302,B302)</f>
        <v/>
      </c>
      <c r="H302" s="19">
        <f>IFERROR(E302/F302,0)</f>
        <v/>
      </c>
      <c r="I302" s="20">
        <f>VLOOKUP(B302,Upgrade_Params!$A$4:$K$23,9,FALSE)</f>
        <v/>
      </c>
      <c r="J302" s="20">
        <f>VLOOKUP(B302,Upgrade_Params!$A$4:$K$23,10,FALSE)</f>
        <v/>
      </c>
      <c r="K302" s="26">
        <f>IF(D302&lt;=6,"Starter",IF(D302&lt;=15,"Midgame",IF(D302&lt;=28,"Late Midgame","Endgame")))</f>
        <v/>
      </c>
      <c r="L302" s="18">
        <f>IFERROR(F302/E302*1000,0)</f>
        <v/>
      </c>
    </row>
    <row r="303">
      <c r="A303" s="25">
        <f>VLOOKUP(B303,Upgrade_Params!$A$4:$K$23,2,FALSE)</f>
        <v/>
      </c>
      <c r="B303" s="20" t="inlineStr">
        <is>
          <t>Whale Analytics</t>
        </is>
      </c>
      <c r="C303" s="25" t="n">
        <v>15</v>
      </c>
      <c r="D303" s="25">
        <f>VLOOKUP(B303,Upgrade_Params!$A$4:$K$23,3,FALSE)</f>
        <v/>
      </c>
      <c r="E303" s="17">
        <f>ROUND(VLOOKUP(B303,Upgrade_Params!$A$4:$K$23,4,FALSE)*VLOOKUP(B303,Upgrade_Params!$A$4:$K$23,5,FALSE)^(C303-1),0)</f>
        <v/>
      </c>
      <c r="F303" s="17">
        <f>ROUND(VLOOKUP(B303,Upgrade_Params!$A$4:$K$23,6,FALSE)*VLOOKUP(B303,Upgrade_Params!$A$4:$K$23,7,FALSE)^(C303-1),0)</f>
        <v/>
      </c>
      <c r="G303" s="17">
        <f>SUMIFS($F$4:F303,$B$4:B303,B303)</f>
        <v/>
      </c>
      <c r="H303" s="19">
        <f>IFERROR(E303/F303,0)</f>
        <v/>
      </c>
      <c r="I303" s="20">
        <f>VLOOKUP(B303,Upgrade_Params!$A$4:$K$23,9,FALSE)</f>
        <v/>
      </c>
      <c r="J303" s="20">
        <f>VLOOKUP(B303,Upgrade_Params!$A$4:$K$23,10,FALSE)</f>
        <v/>
      </c>
      <c r="K303" s="26">
        <f>IF(D303&lt;=6,"Starter",IF(D303&lt;=15,"Midgame",IF(D303&lt;=28,"Late Midgame","Endgame")))</f>
        <v/>
      </c>
      <c r="L303" s="18">
        <f>IFERROR(F303/E303*1000,0)</f>
        <v/>
      </c>
    </row>
  </sheetData>
  <mergeCells count="2">
    <mergeCell ref="A1:L1"/>
    <mergeCell ref="N4:P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20" customWidth="1" min="4" max="4"/>
    <col width="26" customWidth="1" min="5" max="5"/>
    <col width="12" customWidth="1" min="6" max="6"/>
    <col width="13" customWidth="1" min="7" max="7"/>
    <col width="18" customWidth="1" min="8" max="8"/>
    <col width="20" customWidth="1" min="9" max="9"/>
    <col width="20" customWidth="1" min="10" max="10"/>
    <col width="18" customWidth="1" min="11" max="11"/>
  </cols>
  <sheetData>
    <row r="1" ht="20" customHeight="1">
      <c r="A1" s="1" t="inlineStr">
        <is>
          <t>Referral Progression Chain</t>
        </is>
      </c>
    </row>
    <row r="3">
      <c r="A3" s="2" t="inlineStr">
        <is>
          <t>Chain</t>
        </is>
      </c>
      <c r="B3" s="2" t="inlineStr">
        <is>
          <t>Stage</t>
        </is>
      </c>
      <c r="C3" s="2" t="inlineStr">
        <is>
          <t>Unlock Level</t>
        </is>
      </c>
      <c r="D3" s="2" t="inlineStr">
        <is>
          <t>Task</t>
        </is>
      </c>
      <c r="E3" s="2" t="inlineStr">
        <is>
          <t>Requirement Detail</t>
        </is>
      </c>
      <c r="F3" s="2" t="inlineStr">
        <is>
          <t>Reward ADN</t>
        </is>
      </c>
      <c r="G3" s="2" t="inlineStr">
        <is>
          <t>Reward Weight</t>
        </is>
      </c>
      <c r="H3" s="2" t="inlineStr">
        <is>
          <t>Bonus Reward</t>
        </is>
      </c>
      <c r="I3" s="2" t="inlineStr">
        <is>
          <t>Completion Check</t>
        </is>
      </c>
      <c r="J3" s="2" t="inlineStr">
        <is>
          <t>Anti-Abuse Rule</t>
        </is>
      </c>
      <c r="K3" s="2" t="inlineStr">
        <is>
          <t>Next Task Logic</t>
        </is>
      </c>
    </row>
    <row r="4">
      <c r="A4" s="15" t="inlineStr">
        <is>
          <t>Starter</t>
        </is>
      </c>
      <c r="B4" s="15" t="n">
        <v>1</v>
      </c>
      <c r="C4" s="15" t="n">
        <v>8</v>
      </c>
      <c r="D4" s="15" t="inlineStr">
        <is>
          <t>Invite 1 friend</t>
        </is>
      </c>
      <c r="E4" s="15" t="inlineStr">
        <is>
          <t>Referral joins via your code</t>
        </is>
      </c>
      <c r="F4" s="28" t="n">
        <v>300</v>
      </c>
      <c r="G4" s="28" t="n">
        <v>10</v>
      </c>
      <c r="H4" s="15" t="inlineStr">
        <is>
          <t>Bronze inviter badge</t>
        </is>
      </c>
      <c r="I4" s="15" t="inlineStr">
        <is>
          <t>Referral account created + tutorial done</t>
        </is>
      </c>
      <c r="J4" s="15" t="inlineStr">
        <is>
          <t>No same device / same IP</t>
        </is>
      </c>
      <c r="K4" s="15" t="inlineStr">
        <is>
          <t>Open Stage 2</t>
        </is>
      </c>
    </row>
    <row r="5">
      <c r="A5" s="15" t="inlineStr">
        <is>
          <t>Starter</t>
        </is>
      </c>
      <c r="B5" s="15" t="n">
        <v>2</v>
      </c>
      <c r="C5" s="15" t="n">
        <v>8</v>
      </c>
      <c r="D5" s="15" t="inlineStr">
        <is>
          <t>Make referral active</t>
        </is>
      </c>
      <c r="E5" s="15" t="inlineStr">
        <is>
          <t>Referral reaches Level 3</t>
        </is>
      </c>
      <c r="F5" s="28" t="n">
        <v>500</v>
      </c>
      <c r="G5" s="28" t="n">
        <v>18</v>
      </c>
      <c r="H5" s="15" t="inlineStr">
        <is>
          <t>1h 2x tap boost</t>
        </is>
      </c>
      <c r="I5" s="15" t="inlineStr">
        <is>
          <t>At least 2 sessions across 2 hours</t>
        </is>
      </c>
      <c r="J5" s="15" t="inlineStr">
        <is>
          <t>Reject if account age &lt; 30 min</t>
        </is>
      </c>
      <c r="K5" s="15" t="inlineStr">
        <is>
          <t>Open Stage 3</t>
        </is>
      </c>
    </row>
    <row r="6">
      <c r="A6" s="15" t="inlineStr">
        <is>
          <t>Starter</t>
        </is>
      </c>
      <c r="B6" s="15" t="n">
        <v>3</v>
      </c>
      <c r="C6" s="15" t="n">
        <v>8</v>
      </c>
      <c r="D6" s="15" t="inlineStr">
        <is>
          <t>Referral earns ADN</t>
        </is>
      </c>
      <c r="E6" s="15" t="inlineStr">
        <is>
          <t>Referral earns 100 ADN</t>
        </is>
      </c>
      <c r="F6" s="28" t="n">
        <v>650</v>
      </c>
      <c r="G6" s="28" t="n">
        <v>24</v>
      </c>
      <c r="H6" s="15" t="inlineStr">
        <is>
          <t>Energy refill pack</t>
        </is>
      </c>
      <c r="I6" s="15" t="inlineStr">
        <is>
          <t>Server-side earnings check</t>
        </is>
      </c>
      <c r="J6" s="15" t="inlineStr">
        <is>
          <t>No burst-only taps</t>
        </is>
      </c>
      <c r="K6" s="15" t="inlineStr">
        <is>
          <t>Open Stage 4</t>
        </is>
      </c>
    </row>
    <row r="7">
      <c r="A7" s="15" t="inlineStr">
        <is>
          <t>Growth</t>
        </is>
      </c>
      <c r="B7" s="15" t="n">
        <v>4</v>
      </c>
      <c r="C7" s="15" t="n">
        <v>10</v>
      </c>
      <c r="D7" s="15" t="inlineStr">
        <is>
          <t>Bring 2 active referrals</t>
        </is>
      </c>
      <c r="E7" s="15" t="inlineStr">
        <is>
          <t>2 referrals reach Level 4</t>
        </is>
      </c>
      <c r="F7" s="28" t="n">
        <v>1200</v>
      </c>
      <c r="G7" s="28" t="n">
        <v>40</v>
      </c>
      <c r="H7" s="15" t="inlineStr">
        <is>
          <t>Creator bounty ticket</t>
        </is>
      </c>
      <c r="I7" s="15" t="inlineStr">
        <is>
          <t>Distinct device fingerprint</t>
        </is>
      </c>
      <c r="J7" s="15" t="inlineStr">
        <is>
          <t>Max 1 reward / household unless reviewed</t>
        </is>
      </c>
      <c r="K7" s="15" t="inlineStr">
        <is>
          <t>Open Stage 5</t>
        </is>
      </c>
    </row>
    <row r="8">
      <c r="A8" s="15" t="inlineStr">
        <is>
          <t>Growth</t>
        </is>
      </c>
      <c r="B8" s="15" t="n">
        <v>5</v>
      </c>
      <c r="C8" s="15" t="n">
        <v>10</v>
      </c>
      <c r="D8" s="15" t="inlineStr">
        <is>
          <t>Referral streak</t>
        </is>
      </c>
      <c r="E8" s="15" t="inlineStr">
        <is>
          <t>1 referral logs in 3 days in a row</t>
        </is>
      </c>
      <c r="F8" s="28" t="n">
        <v>1500</v>
      </c>
      <c r="G8" s="28" t="n">
        <v>55</v>
      </c>
      <c r="H8" s="15" t="inlineStr">
        <is>
          <t>Daily bonus +10% for 24h</t>
        </is>
      </c>
      <c r="I8" s="15" t="inlineStr">
        <is>
          <t>Consecutive UTC-day claims</t>
        </is>
      </c>
      <c r="J8" s="15" t="inlineStr">
        <is>
          <t>No emulator clusters</t>
        </is>
      </c>
      <c r="K8" s="15" t="inlineStr">
        <is>
          <t>Open Stage 6</t>
        </is>
      </c>
    </row>
    <row r="9">
      <c r="A9" s="15" t="inlineStr">
        <is>
          <t>Quality</t>
        </is>
      </c>
      <c r="B9" s="15" t="n">
        <v>6</v>
      </c>
      <c r="C9" s="15" t="n">
        <v>12</v>
      </c>
      <c r="D9" s="15" t="inlineStr">
        <is>
          <t>Referral taps consistently</t>
        </is>
      </c>
      <c r="E9" s="15" t="inlineStr">
        <is>
          <t>1 referral performs 200 valid taps</t>
        </is>
      </c>
      <c r="F9" s="28" t="n">
        <v>1800</v>
      </c>
      <c r="G9" s="28" t="n">
        <v>70</v>
      </c>
      <c r="H9" s="15" t="inlineStr">
        <is>
          <t>Quantum cooler shard</t>
        </is>
      </c>
      <c r="I9" s="15" t="inlineStr">
        <is>
          <t>Anti-cheat valid tap counter</t>
        </is>
      </c>
      <c r="J9" s="15" t="inlineStr">
        <is>
          <t>Ignore locked users</t>
        </is>
      </c>
      <c r="K9" s="15" t="inlineStr">
        <is>
          <t>Open Stage 7</t>
        </is>
      </c>
    </row>
    <row r="10">
      <c r="A10" s="15" t="inlineStr">
        <is>
          <t>Quality</t>
        </is>
      </c>
      <c r="B10" s="15" t="n">
        <v>7</v>
      </c>
      <c r="C10" s="15" t="n">
        <v>12</v>
      </c>
      <c r="D10" s="15" t="inlineStr">
        <is>
          <t>Idle progression</t>
        </is>
      </c>
      <c r="E10" s="15" t="inlineStr">
        <is>
          <t>1 referral claims offline earnings twice</t>
        </is>
      </c>
      <c r="F10" s="28" t="n">
        <v>2200</v>
      </c>
      <c r="G10" s="28" t="n">
        <v>85</v>
      </c>
      <c r="H10" s="15" t="inlineStr">
        <is>
          <t>Idle cap +0.5h for 24h</t>
        </is>
      </c>
      <c r="I10" s="15" t="inlineStr">
        <is>
          <t>Two separate offline claim timestamps</t>
        </is>
      </c>
      <c r="J10" s="15" t="inlineStr">
        <is>
          <t>No script-like cadence</t>
        </is>
      </c>
      <c r="K10" s="15" t="inlineStr">
        <is>
          <t>Open Stage 8</t>
        </is>
      </c>
    </row>
    <row r="11">
      <c r="A11" s="15" t="inlineStr">
        <is>
          <t>Scale</t>
        </is>
      </c>
      <c r="B11" s="15" t="n">
        <v>8</v>
      </c>
      <c r="C11" s="15" t="n">
        <v>15</v>
      </c>
      <c r="D11" s="15" t="inlineStr">
        <is>
          <t>Bring 3 engaged referrals</t>
        </is>
      </c>
      <c r="E11" s="15" t="inlineStr">
        <is>
          <t>3 referrals reach Level 6</t>
        </is>
      </c>
      <c r="F11" s="28" t="n">
        <v>3200</v>
      </c>
      <c r="G11" s="28" t="n">
        <v>120</v>
      </c>
      <c r="H11" s="15" t="inlineStr">
        <is>
          <t>Premium market ticket</t>
        </is>
      </c>
      <c r="I11" s="15" t="inlineStr">
        <is>
          <t>Level + session + spend depth</t>
        </is>
      </c>
      <c r="J11" s="15" t="inlineStr">
        <is>
          <t>No self-invite graph loops</t>
        </is>
      </c>
      <c r="K11" s="15" t="inlineStr">
        <is>
          <t>Open Stage 9</t>
        </is>
      </c>
    </row>
    <row r="12">
      <c r="A12" s="15" t="inlineStr">
        <is>
          <t>Scale</t>
        </is>
      </c>
      <c r="B12" s="15" t="n">
        <v>9</v>
      </c>
      <c r="C12" s="15" t="n">
        <v>15</v>
      </c>
      <c r="D12" s="15" t="inlineStr">
        <is>
          <t>Monetized social proof</t>
        </is>
      </c>
      <c r="E12" s="15" t="inlineStr">
        <is>
          <t>1 referral buys any premium boost</t>
        </is>
      </c>
      <c r="F12" s="28" t="n">
        <v>4000</v>
      </c>
      <c r="G12" s="28" t="n">
        <v>160</v>
      </c>
      <c r="H12" s="15" t="inlineStr">
        <is>
          <t>Premium chest</t>
        </is>
      </c>
      <c r="I12" s="15" t="inlineStr">
        <is>
          <t>Payment success webhook</t>
        </is>
      </c>
      <c r="J12" s="15" t="inlineStr">
        <is>
          <t>No refunded / test payments</t>
        </is>
      </c>
      <c r="K12" s="15" t="inlineStr">
        <is>
          <t>Open Stage 10</t>
        </is>
      </c>
    </row>
    <row r="13">
      <c r="A13" s="15" t="inlineStr">
        <is>
          <t>Retention</t>
        </is>
      </c>
      <c r="B13" s="15" t="n">
        <v>10</v>
      </c>
      <c r="C13" s="15" t="n">
        <v>18</v>
      </c>
      <c r="D13" s="15" t="inlineStr">
        <is>
          <t>Referral guild join</t>
        </is>
      </c>
      <c r="E13" s="15" t="inlineStr">
        <is>
          <t>2 referrals join or create guild</t>
        </is>
      </c>
      <c r="F13" s="28" t="n">
        <v>5200</v>
      </c>
      <c r="G13" s="28" t="n">
        <v>210</v>
      </c>
      <c r="H13" s="15" t="inlineStr">
        <is>
          <t>Guild booster</t>
        </is>
      </c>
      <c r="I13" s="15" t="inlineStr">
        <is>
          <t>Guild membership age &gt; 24h</t>
        </is>
      </c>
      <c r="J13" s="15" t="inlineStr">
        <is>
          <t>One guild loop only</t>
        </is>
      </c>
      <c r="K13" s="15" t="inlineStr">
        <is>
          <t>Open Stage 11</t>
        </is>
      </c>
    </row>
    <row r="14">
      <c r="A14" s="15" t="inlineStr">
        <is>
          <t>Retention</t>
        </is>
      </c>
      <c r="B14" s="15" t="n">
        <v>11</v>
      </c>
      <c r="C14" s="15" t="n">
        <v>18</v>
      </c>
      <c r="D14" s="15" t="inlineStr">
        <is>
          <t>7-day referral retention</t>
        </is>
      </c>
      <c r="E14" s="15" t="inlineStr">
        <is>
          <t>1 referral active on day 7</t>
        </is>
      </c>
      <c r="F14" s="28" t="n">
        <v>7000</v>
      </c>
      <c r="G14" s="28" t="n">
        <v>280</v>
      </c>
      <c r="H14" s="15" t="inlineStr">
        <is>
          <t>7-day aura badge</t>
        </is>
      </c>
      <c r="I14" s="15" t="inlineStr">
        <is>
          <t>D1 + D3 + D7 activity</t>
        </is>
      </c>
      <c r="J14" s="15" t="inlineStr">
        <is>
          <t>Filter suspicious clusters</t>
        </is>
      </c>
      <c r="K14" s="15" t="inlineStr">
        <is>
          <t>Open Stage 12</t>
        </is>
      </c>
    </row>
    <row r="15">
      <c r="A15" s="15" t="inlineStr">
        <is>
          <t>Power</t>
        </is>
      </c>
      <c r="B15" s="15" t="n">
        <v>12</v>
      </c>
      <c r="C15" s="15" t="n">
        <v>22</v>
      </c>
      <c r="D15" s="15" t="inlineStr">
        <is>
          <t>High-value referral</t>
        </is>
      </c>
      <c r="E15" s="15" t="inlineStr">
        <is>
          <t>1 referral reaches Level 12</t>
        </is>
      </c>
      <c r="F15" s="28" t="n">
        <v>10000</v>
      </c>
      <c r="G15" s="28" t="n">
        <v>380</v>
      </c>
      <c r="H15" s="15" t="inlineStr">
        <is>
          <t>Auto-tap drone shard</t>
        </is>
      </c>
      <c r="I15" s="15" t="inlineStr">
        <is>
          <t>Progression verified server-side</t>
        </is>
      </c>
      <c r="J15" s="15" t="inlineStr">
        <is>
          <t>No unusual spend spike</t>
        </is>
      </c>
      <c r="K15" s="15" t="inlineStr">
        <is>
          <t>Open Stage 13</t>
        </is>
      </c>
    </row>
    <row r="16">
      <c r="A16" s="15" t="inlineStr">
        <is>
          <t>Power</t>
        </is>
      </c>
      <c r="B16" s="15" t="n">
        <v>13</v>
      </c>
      <c r="C16" s="15" t="n">
        <v>22</v>
      </c>
      <c r="D16" s="15" t="inlineStr">
        <is>
          <t>Referral economy contribution</t>
        </is>
      </c>
      <c r="E16" s="15" t="inlineStr">
        <is>
          <t>Referrals generate 10k combined ADN</t>
        </is>
      </c>
      <c r="F16" s="28" t="n">
        <v>12500</v>
      </c>
      <c r="G16" s="28" t="n">
        <v>470</v>
      </c>
      <c r="H16" s="15" t="inlineStr">
        <is>
          <t>Mission slot +1 for 24h</t>
        </is>
      </c>
      <c r="I16" s="15" t="inlineStr">
        <is>
          <t>Aggregate valid earn counter</t>
        </is>
      </c>
      <c r="J16" s="15" t="inlineStr">
        <is>
          <t>Exclude banned users</t>
        </is>
      </c>
      <c r="K16" s="15" t="inlineStr">
        <is>
          <t>Open Stage 14</t>
        </is>
      </c>
    </row>
    <row r="17">
      <c r="A17" s="15" t="inlineStr">
        <is>
          <t>Elite</t>
        </is>
      </c>
      <c r="B17" s="15" t="n">
        <v>14</v>
      </c>
      <c r="C17" s="15" t="n">
        <v>28</v>
      </c>
      <c r="D17" s="15" t="inlineStr">
        <is>
          <t>Elite social network</t>
        </is>
      </c>
      <c r="E17" s="15" t="inlineStr">
        <is>
          <t>5 referrals reach Level 8</t>
        </is>
      </c>
      <c r="F17" s="28" t="n">
        <v>18000</v>
      </c>
      <c r="G17" s="28" t="n">
        <v>650</v>
      </c>
      <c r="H17" s="15" t="inlineStr">
        <is>
          <t>Elite inviter badge</t>
        </is>
      </c>
      <c r="I17" s="15" t="inlineStr">
        <is>
          <t>All referrals distinct and active</t>
        </is>
      </c>
      <c r="J17" s="15" t="inlineStr">
        <is>
          <t>Household cap review</t>
        </is>
      </c>
      <c r="K17" s="15" t="inlineStr">
        <is>
          <t>Open Stage 15</t>
        </is>
      </c>
    </row>
    <row r="18">
      <c r="A18" s="15" t="inlineStr">
        <is>
          <t>Elite</t>
        </is>
      </c>
      <c r="B18" s="15" t="n">
        <v>15</v>
      </c>
      <c r="C18" s="15" t="n">
        <v>35</v>
      </c>
      <c r="D18" s="15" t="inlineStr">
        <is>
          <t>Claim-ready referral tree</t>
        </is>
      </c>
      <c r="E18" s="15" t="inlineStr">
        <is>
          <t>3 referrals become airdrop-eligible</t>
        </is>
      </c>
      <c r="F18" s="28" t="n">
        <v>30000</v>
      </c>
      <c r="G18" s="28" t="n">
        <v>1000</v>
      </c>
      <c r="H18" s="15" t="inlineStr">
        <is>
          <t>Fast-lane claim review</t>
        </is>
      </c>
      <c r="I18" s="15" t="inlineStr">
        <is>
          <t>Eligibility status true on 3 nodes</t>
        </is>
      </c>
      <c r="J18" s="15" t="inlineStr">
        <is>
          <t>Manual review allowed</t>
        </is>
      </c>
      <c r="K18" s="15" t="inlineStr">
        <is>
          <t>Season reset / prestige quest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20" customWidth="1" min="4" max="4"/>
    <col width="20" customWidth="1" min="5" max="5"/>
    <col width="10" customWidth="1" min="6" max="6"/>
    <col width="20" customWidth="1" min="7" max="7"/>
    <col width="20" customWidth="1" min="8" max="8"/>
    <col width="22" customWidth="1" min="9" max="9"/>
  </cols>
  <sheetData>
    <row r="1" ht="20" customHeight="1">
      <c r="A1" s="1" t="inlineStr">
        <is>
          <t>Segment-Based Next Quest Logic</t>
        </is>
      </c>
    </row>
    <row r="3">
      <c r="A3" s="29" t="inlineStr">
        <is>
          <t>Player Segment</t>
        </is>
      </c>
      <c r="B3" s="29" t="inlineStr">
        <is>
          <t>Primary Trigger</t>
        </is>
      </c>
      <c r="C3" s="29" t="inlineStr">
        <is>
          <t>Recommended Next Quest</t>
        </is>
      </c>
      <c r="D3" s="29" t="inlineStr">
        <is>
          <t>Reason</t>
        </is>
      </c>
      <c r="E3" s="29" t="inlineStr">
        <is>
          <t>Reward Mix</t>
        </is>
      </c>
      <c r="F3" s="29" t="inlineStr">
        <is>
          <t>Cooldown</t>
        </is>
      </c>
      <c r="G3" s="29" t="inlineStr">
        <is>
          <t>When to Avoid</t>
        </is>
      </c>
      <c r="H3" s="29" t="inlineStr">
        <is>
          <t>Notes</t>
        </is>
      </c>
      <c r="I3" s="29" t="inlineStr">
        <is>
          <t>AI Prompt Hint</t>
        </is>
      </c>
    </row>
    <row r="4">
      <c r="A4" s="15" t="inlineStr">
        <is>
          <t>New user</t>
        </is>
      </c>
      <c r="B4" s="15" t="inlineStr">
        <is>
          <t>Finished tutorial</t>
        </is>
      </c>
      <c r="C4" s="15" t="inlineStr">
        <is>
          <t>Buy 2 starter cards and claim daily bonus</t>
        </is>
      </c>
      <c r="D4" s="15" t="inlineStr">
        <is>
          <t>Teaches spend loop</t>
        </is>
      </c>
      <c r="E4" s="15" t="inlineStr">
        <is>
          <t>70% ADN / 30% energy</t>
        </is>
      </c>
      <c r="F4" s="15" t="inlineStr">
        <is>
          <t>No cooldown</t>
        </is>
      </c>
      <c r="G4" s="15" t="inlineStr">
        <is>
          <t>If user already L4+</t>
        </is>
      </c>
      <c r="H4" s="15" t="inlineStr">
        <is>
          <t>Keep copy short and encouraging</t>
        </is>
      </c>
    </row>
    <row r="5">
      <c r="A5" s="15" t="inlineStr">
        <is>
          <t>Daily user</t>
        </is>
      </c>
      <c r="B5" s="15" t="inlineStr">
        <is>
          <t>Claimed daily bonus</t>
        </is>
      </c>
      <c r="C5" s="15" t="inlineStr">
        <is>
          <t>Play 3 short sessions today</t>
        </is>
      </c>
      <c r="D5" s="15" t="inlineStr">
        <is>
          <t>Build habit density</t>
        </is>
      </c>
      <c r="E5" s="15" t="inlineStr">
        <is>
          <t>60% ADN / 40% streak XP</t>
        </is>
      </c>
      <c r="F5" s="15" t="inlineStr">
        <is>
          <t>12h</t>
        </is>
      </c>
      <c r="G5" s="15" t="inlineStr">
        <is>
          <t>If session fatigue detected</t>
        </is>
      </c>
      <c r="H5" s="15" t="inlineStr">
        <is>
          <t>Push consistency over grind</t>
        </is>
      </c>
    </row>
    <row r="6">
      <c r="A6" s="15" t="inlineStr">
        <is>
          <t>Referral-focused</t>
        </is>
      </c>
      <c r="B6" s="15" t="inlineStr">
        <is>
          <t>Completed referral stage</t>
        </is>
      </c>
      <c r="C6" s="15" t="inlineStr">
        <is>
          <t>Invite 1 more friend who reaches L3</t>
        </is>
      </c>
      <c r="D6" s="15" t="inlineStr">
        <is>
          <t>Extends social loop with quality filter</t>
        </is>
      </c>
      <c r="E6" s="15" t="inlineStr">
        <is>
          <t>50% ADN / 50% weight</t>
        </is>
      </c>
      <c r="F6" s="15" t="inlineStr">
        <is>
          <t>18h</t>
        </is>
      </c>
      <c r="G6" s="15" t="inlineStr">
        <is>
          <t>If suspicious network score high</t>
        </is>
      </c>
      <c r="H6" s="15" t="inlineStr">
        <is>
          <t>Reward active referrals only</t>
        </is>
      </c>
    </row>
    <row r="7">
      <c r="A7" s="15" t="inlineStr">
        <is>
          <t>Cooling</t>
        </is>
      </c>
      <c r="B7" s="15" t="inlineStr">
        <is>
          <t>No login for 36h</t>
        </is>
      </c>
      <c r="C7" s="15" t="inlineStr">
        <is>
          <t>Return and finish 1 comeback mission</t>
        </is>
      </c>
      <c r="D7" s="15" t="inlineStr">
        <is>
          <t>Reactivation before churn hardens</t>
        </is>
      </c>
      <c r="E7" s="15" t="inlineStr">
        <is>
          <t>40% ADN / 60% boost</t>
        </is>
      </c>
      <c r="F7" s="15" t="inlineStr">
        <is>
          <t>24h</t>
        </is>
      </c>
      <c r="G7" s="15" t="inlineStr">
        <is>
          <t>If user opted out of notifications</t>
        </is>
      </c>
      <c r="H7" s="15" t="inlineStr">
        <is>
          <t>Use loss aversion copy</t>
        </is>
      </c>
    </row>
    <row r="8">
      <c r="A8" s="15" t="inlineStr">
        <is>
          <t>Active grinder</t>
        </is>
      </c>
      <c r="B8" s="15" t="inlineStr">
        <is>
          <t>5+ sessions in 2 days</t>
        </is>
      </c>
      <c r="C8" s="15" t="inlineStr">
        <is>
          <t>Upgrade one midgame exchange card</t>
        </is>
      </c>
      <c r="D8" s="15" t="inlineStr">
        <is>
          <t>Convert activity into compounding</t>
        </is>
      </c>
      <c r="E8" s="15" t="inlineStr">
        <is>
          <t>80% ADN / 20% badge</t>
        </is>
      </c>
      <c r="F8" s="15" t="inlineStr">
        <is>
          <t>8h</t>
        </is>
      </c>
      <c r="G8" s="15" t="inlineStr">
        <is>
          <t>If user short on ADN</t>
        </is>
      </c>
      <c r="H8" s="15" t="inlineStr">
        <is>
          <t>Recommend best payback card</t>
        </is>
      </c>
    </row>
    <row r="9">
      <c r="A9" s="15" t="inlineStr">
        <is>
          <t>Idle lover</t>
        </is>
      </c>
      <c r="B9" s="15" t="inlineStr">
        <is>
          <t>Multiple offline claims</t>
        </is>
      </c>
      <c r="C9" s="15" t="inlineStr">
        <is>
          <t>Increase idle cap via Liquidity Pool or Auto-Tap Drones</t>
        </is>
      </c>
      <c r="D9" s="15" t="inlineStr">
        <is>
          <t>Supports preferred playstyle</t>
        </is>
      </c>
      <c r="E9" s="15" t="inlineStr">
        <is>
          <t>70% ADN / 30% idle boost</t>
        </is>
      </c>
      <c r="F9" s="15" t="inlineStr">
        <is>
          <t>12h</t>
        </is>
      </c>
      <c r="G9" s="15" t="inlineStr">
        <is>
          <t>If passive cap already maxed</t>
        </is>
      </c>
      <c r="H9" s="15" t="inlineStr">
        <is>
          <t>Offer comfort not grind</t>
        </is>
      </c>
    </row>
    <row r="10">
      <c r="A10" s="15" t="inlineStr">
        <is>
          <t>Mid spender</t>
        </is>
      </c>
      <c r="B10" s="15" t="inlineStr">
        <is>
          <t>Bought premium once</t>
        </is>
      </c>
      <c r="C10" s="15" t="inlineStr">
        <is>
          <t>Unlock Premium Market synergy combo</t>
        </is>
      </c>
      <c r="D10" s="15" t="inlineStr">
        <is>
          <t>Nudge repeat purchase without hard pressure</t>
        </is>
      </c>
      <c r="E10" s="15" t="inlineStr">
        <is>
          <t>40% ADN / 30% premium chest / 30% weight</t>
        </is>
      </c>
      <c r="F10" s="15" t="inlineStr">
        <is>
          <t>24h</t>
        </is>
      </c>
      <c r="G10" s="15" t="inlineStr">
        <is>
          <t>If refund risk or low trust</t>
        </is>
      </c>
      <c r="H10" s="15" t="inlineStr">
        <is>
          <t>Use soft-sell language</t>
        </is>
      </c>
    </row>
    <row r="11">
      <c r="A11" s="15" t="inlineStr">
        <is>
          <t>Whale</t>
        </is>
      </c>
      <c r="B11" s="15" t="inlineStr">
        <is>
          <t>Bought premium multiple times</t>
        </is>
      </c>
      <c r="C11" s="15" t="inlineStr">
        <is>
          <t>Complete elite combo card upgrade</t>
        </is>
      </c>
      <c r="D11" s="15" t="inlineStr">
        <is>
          <t>Retain high-value users</t>
        </is>
      </c>
      <c r="E11" s="15" t="inlineStr">
        <is>
          <t>30% ADN / 20% badge / 50% VIP perk</t>
        </is>
      </c>
      <c r="F11" s="15" t="inlineStr">
        <is>
          <t>36h</t>
        </is>
      </c>
      <c r="G11" s="15" t="inlineStr">
        <is>
          <t>If progression cap reached</t>
        </is>
      </c>
      <c r="H11" s="15" t="inlineStr">
        <is>
          <t>Focus prestige and exclusivity</t>
        </is>
      </c>
    </row>
    <row r="12">
      <c r="A12" s="15" t="inlineStr">
        <is>
          <t>Suspicious</t>
        </is>
      </c>
      <c r="B12" s="15" t="inlineStr">
        <is>
          <t>High fraud score</t>
        </is>
      </c>
      <c r="C12" s="15" t="inlineStr">
        <is>
          <t>Manual review or trust-restoring mission</t>
        </is>
      </c>
      <c r="D12" s="15" t="inlineStr">
        <is>
          <t>Reduce false positives and loss</t>
        </is>
      </c>
      <c r="E12" s="15" t="inlineStr">
        <is>
          <t>Mostly non-economic rewards</t>
        </is>
      </c>
      <c r="F12" s="15" t="inlineStr">
        <is>
          <t>48h</t>
        </is>
      </c>
      <c r="G12" s="15" t="inlineStr">
        <is>
          <t>If already banned</t>
        </is>
      </c>
      <c r="H12" s="15" t="inlineStr">
        <is>
          <t>Do not grant weight rewards</t>
        </is>
      </c>
    </row>
    <row r="13">
      <c r="A13" s="15" t="inlineStr">
        <is>
          <t>Claim-ready</t>
        </is>
      </c>
      <c r="B13" s="15" t="inlineStr">
        <is>
          <t>Level 35+ and trusted</t>
        </is>
      </c>
      <c r="C13" s="15" t="inlineStr">
        <is>
          <t>Finish proof-of-quality task pack</t>
        </is>
      </c>
      <c r="D13" s="15" t="inlineStr">
        <is>
          <t>Prepare for airdrop / payout ops</t>
        </is>
      </c>
      <c r="E13" s="15" t="inlineStr">
        <is>
          <t>20% ADN / 80% weight</t>
        </is>
      </c>
      <c r="F13" s="15" t="inlineStr">
        <is>
          <t>72h</t>
        </is>
      </c>
      <c r="G13" s="15" t="inlineStr">
        <is>
          <t>If KYC/compliance incomplete</t>
        </is>
      </c>
      <c r="H13" s="15" t="inlineStr">
        <is>
          <t>Operational checklist messaging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50" customWidth="1" min="4" max="4"/>
    <col width="20" customWidth="1" min="5" max="5"/>
    <col width="14" customWidth="1" min="6" max="6"/>
    <col width="18" customWidth="1" min="7" max="7"/>
  </cols>
  <sheetData>
    <row r="1" ht="20" customHeight="1">
      <c r="A1" s="1" t="inlineStr">
        <is>
          <t>ADN Economy Dashboard</t>
        </is>
      </c>
    </row>
    <row r="3" ht="20" customHeight="1">
      <c r="D3" s="5" t="inlineStr">
        <is>
          <t>Balancing Notes</t>
        </is>
      </c>
    </row>
    <row r="4">
      <c r="A4" s="8" t="inlineStr">
        <is>
          <t>Total Levels</t>
        </is>
      </c>
      <c r="B4" s="30">
        <f>MAX(Player_Levels!A4:A53)</f>
        <v/>
      </c>
      <c r="C4" s="31" t="n"/>
      <c r="D4" s="4" t="inlineStr">
        <is>
          <t>• Early cards pay back faster to create momentum.</t>
        </is>
      </c>
      <c r="F4" s="31" t="n"/>
      <c r="G4" s="31" t="n"/>
    </row>
    <row r="5">
      <c r="A5" s="8" t="inlineStr">
        <is>
          <t>Total Upgrade Cards</t>
        </is>
      </c>
      <c r="B5" s="30">
        <f>COUNTA(Upgrade_Params!A4:A23)</f>
        <v/>
      </c>
      <c r="C5" s="31" t="n"/>
      <c r="D5" s="4" t="inlineStr">
        <is>
          <t>• Midgame payback stretches modestly to create choice tension.</t>
        </is>
      </c>
      <c r="F5" s="31" t="n"/>
      <c r="G5" s="31" t="n"/>
    </row>
    <row r="6">
      <c r="A6" s="8" t="inlineStr">
        <is>
          <t>Total Tier Rows</t>
        </is>
      </c>
      <c r="B6" s="30">
        <f>COUNTA(Upgrade_Tiers!B4:B273)</f>
        <v/>
      </c>
      <c r="C6" s="31" t="n"/>
      <c r="D6" s="4" t="inlineStr">
        <is>
          <t>• Endgame costs rise faster than gains, but synergy cards preserve aspiration.</t>
        </is>
      </c>
      <c r="F6" s="31" t="n"/>
      <c r="G6" s="31" t="n"/>
    </row>
    <row r="7">
      <c r="A7" s="8" t="inlineStr">
        <is>
          <t>Starter Avg Payback Hrs</t>
        </is>
      </c>
      <c r="B7" s="30">
        <f>IFERROR(SUMIF(Upgrade_Tiers!K4:K303,"Starter",Upgrade_Tiers!H4:H303)/COUNTIF(Upgrade_Tiers!K4:K303,"Starter"),0)</f>
        <v/>
      </c>
      <c r="C7" s="31" t="n"/>
      <c r="D7" s="4" t="inlineStr">
        <is>
          <t>• Referral rewards favor active and retained referrals over raw invites.</t>
        </is>
      </c>
      <c r="F7" s="31" t="n"/>
      <c r="G7" s="31" t="n"/>
    </row>
    <row r="8">
      <c r="A8" s="8" t="inlineStr">
        <is>
          <t>Midgame Avg Payback Hrs</t>
        </is>
      </c>
      <c r="B8" s="30">
        <f>IFERROR(SUMIF(Upgrade_Tiers!K4:K303,"Midgame",Upgrade_Tiers!H4:H303)/COUNTIF(Upgrade_Tiers!K4:K303,"Midgame"),0)</f>
        <v/>
      </c>
      <c r="C8" s="31" t="n"/>
      <c r="D8" s="4" t="inlineStr">
        <is>
          <t>• Unlock pacing separates retention systems, social systems, and monetization sinks.</t>
        </is>
      </c>
      <c r="F8" s="31" t="n"/>
      <c r="G8" s="31" t="n"/>
    </row>
    <row r="9">
      <c r="A9" s="8" t="inlineStr">
        <is>
          <t>Endgame Avg Payback Hrs</t>
        </is>
      </c>
      <c r="B9" s="30">
        <f>IFERROR(SUMIF(Upgrade_Tiers!K4:K303,"Endgame",Upgrade_Tiers!H4:H303)/COUNTIF(Upgrade_Tiers!K4:K303,"Endgame"),0)</f>
        <v/>
      </c>
      <c r="C9" s="31" t="n"/>
      <c r="F9" s="31" t="n"/>
      <c r="G9" s="31" t="n"/>
    </row>
    <row r="10">
      <c r="A10" s="8" t="inlineStr">
        <is>
          <t>Level 15 Tap Reward</t>
        </is>
      </c>
      <c r="B10" s="30">
        <f>INDEX(Player_Levels!D4:D53,15)</f>
        <v/>
      </c>
      <c r="C10" s="31" t="n"/>
      <c r="F10" s="31" t="n"/>
      <c r="G10" s="31" t="n"/>
    </row>
    <row r="11">
      <c r="A11" s="8" t="inlineStr">
        <is>
          <t>Level 35 Passive Cap / Hr</t>
        </is>
      </c>
      <c r="B11" s="30">
        <f>INDEX(Player_Levels!H4:H53,35)</f>
        <v/>
      </c>
      <c r="C11" s="31" t="n"/>
      <c r="F11" s="31" t="n"/>
      <c r="G11" s="31" t="n"/>
    </row>
    <row r="12" ht="20" customHeight="1">
      <c r="A12" s="10" t="inlineStr">
        <is>
          <t>Chart Data</t>
        </is>
      </c>
      <c r="E12" s="32" t="inlineStr">
        <is>
          <t>Tier 1 Efficiency by Card</t>
        </is>
      </c>
    </row>
    <row r="13">
      <c r="A13" s="29" t="inlineStr">
        <is>
          <t>Level</t>
        </is>
      </c>
      <c r="B13" s="33" t="inlineStr">
        <is>
          <t>Cumulative XP</t>
        </is>
      </c>
      <c r="C13" s="33" t="inlineStr">
        <is>
          <t>Passive Cap / Hr</t>
        </is>
      </c>
      <c r="E13" s="34" t="inlineStr">
        <is>
          <t>Card</t>
        </is>
      </c>
      <c r="F13" s="35" t="inlineStr">
        <is>
          <t>Tier1 Cost</t>
        </is>
      </c>
      <c r="G13" s="35" t="inlineStr">
        <is>
          <t>Tier1 Added ADN/Hr</t>
        </is>
      </c>
    </row>
    <row r="14">
      <c r="A14">
        <f>Player_Levels!A4</f>
        <v/>
      </c>
      <c r="B14" s="31">
        <f>Player_Levels!C4</f>
        <v/>
      </c>
      <c r="C14" s="31">
        <f>Player_Levels!H4</f>
        <v/>
      </c>
      <c r="E14" t="inlineStr">
        <is>
          <t>Tap Engine</t>
        </is>
      </c>
      <c r="F14" s="31">
        <f>Upgrade_Params!D4</f>
        <v/>
      </c>
      <c r="G14" s="31">
        <f>Upgrade_Params!F4</f>
        <v/>
      </c>
    </row>
    <row r="15">
      <c r="A15">
        <f>Player_Levels!A5</f>
        <v/>
      </c>
      <c r="B15" s="31">
        <f>Player_Levels!C5</f>
        <v/>
      </c>
      <c r="C15" s="31">
        <f>Player_Levels!H5</f>
        <v/>
      </c>
      <c r="E15" t="inlineStr">
        <is>
          <t>GPU Cluster</t>
        </is>
      </c>
      <c r="F15" s="31">
        <f>Upgrade_Params!D5</f>
        <v/>
      </c>
      <c r="G15" s="31">
        <f>Upgrade_Params!F5</f>
        <v/>
      </c>
    </row>
    <row r="16">
      <c r="A16">
        <f>Player_Levels!A6</f>
        <v/>
      </c>
      <c r="B16" s="31">
        <f>Player_Levels!C6</f>
        <v/>
      </c>
      <c r="C16" s="31">
        <f>Player_Levels!H6</f>
        <v/>
      </c>
      <c r="E16" t="inlineStr">
        <is>
          <t>Referral Hub</t>
        </is>
      </c>
      <c r="F16" s="31">
        <f>Upgrade_Params!D6</f>
        <v/>
      </c>
      <c r="G16" s="31">
        <f>Upgrade_Params!F6</f>
        <v/>
      </c>
    </row>
    <row r="17">
      <c r="A17">
        <f>Player_Levels!A7</f>
        <v/>
      </c>
      <c r="B17" s="31">
        <f>Player_Levels!C7</f>
        <v/>
      </c>
      <c r="C17" s="31">
        <f>Player_Levels!H7</f>
        <v/>
      </c>
      <c r="E17" t="inlineStr">
        <is>
          <t>Liquidity Pool</t>
        </is>
      </c>
      <c r="F17" s="31">
        <f>Upgrade_Params!D7</f>
        <v/>
      </c>
      <c r="G17" s="31">
        <f>Upgrade_Params!F7</f>
        <v/>
      </c>
    </row>
    <row r="18">
      <c r="A18">
        <f>Player_Levels!A8</f>
        <v/>
      </c>
      <c r="B18" s="31">
        <f>Player_Levels!C8</f>
        <v/>
      </c>
      <c r="C18" s="31">
        <f>Player_Levels!H8</f>
        <v/>
      </c>
      <c r="E18" t="inlineStr">
        <is>
          <t>Streak Vault</t>
        </is>
      </c>
      <c r="F18" s="31">
        <f>Upgrade_Params!D8</f>
        <v/>
      </c>
      <c r="G18" s="31">
        <f>Upgrade_Params!F8</f>
        <v/>
      </c>
    </row>
    <row r="19">
      <c r="A19">
        <f>Player_Levels!A9</f>
        <v/>
      </c>
      <c r="B19" s="31">
        <f>Player_Levels!C9</f>
        <v/>
      </c>
      <c r="C19" s="31">
        <f>Player_Levels!H9</f>
        <v/>
      </c>
      <c r="E19" t="inlineStr">
        <is>
          <t>ASIC Vault</t>
        </is>
      </c>
      <c r="F19" s="31">
        <f>Upgrade_Params!D9</f>
        <v/>
      </c>
      <c r="G19" s="31">
        <f>Upgrade_Params!F9</f>
        <v/>
      </c>
    </row>
    <row r="20">
      <c r="A20">
        <f>Player_Levels!A10</f>
        <v/>
      </c>
      <c r="B20" s="31">
        <f>Player_Levels!C10</f>
        <v/>
      </c>
      <c r="C20" s="31">
        <f>Player_Levels!H10</f>
        <v/>
      </c>
      <c r="E20" t="inlineStr">
        <is>
          <t>Swap Router</t>
        </is>
      </c>
      <c r="F20" s="31">
        <f>Upgrade_Params!D10</f>
        <v/>
      </c>
      <c r="G20" s="31">
        <f>Upgrade_Params!F10</f>
        <v/>
      </c>
    </row>
    <row r="21">
      <c r="A21">
        <f>Player_Levels!A11</f>
        <v/>
      </c>
      <c r="B21" s="31">
        <f>Player_Levels!C11</f>
        <v/>
      </c>
      <c r="C21" s="31">
        <f>Player_Levels!H11</f>
        <v/>
      </c>
      <c r="E21" t="inlineStr">
        <is>
          <t>Creator Bounties</t>
        </is>
      </c>
      <c r="F21" s="31">
        <f>Upgrade_Params!D11</f>
        <v/>
      </c>
      <c r="G21" s="31">
        <f>Upgrade_Params!F11</f>
        <v/>
      </c>
    </row>
    <row r="22">
      <c r="A22">
        <f>Player_Levels!A12</f>
        <v/>
      </c>
      <c r="B22" s="31">
        <f>Player_Levels!C12</f>
        <v/>
      </c>
      <c r="C22" s="31">
        <f>Player_Levels!H12</f>
        <v/>
      </c>
      <c r="E22" t="inlineStr">
        <is>
          <t>Wallet Vault</t>
        </is>
      </c>
      <c r="F22" s="31">
        <f>Upgrade_Params!D12</f>
        <v/>
      </c>
      <c r="G22" s="31">
        <f>Upgrade_Params!F12</f>
        <v/>
      </c>
    </row>
    <row r="23">
      <c r="A23">
        <f>Player_Levels!A13</f>
        <v/>
      </c>
      <c r="B23" s="31">
        <f>Player_Levels!C13</f>
        <v/>
      </c>
      <c r="C23" s="31">
        <f>Player_Levels!H13</f>
        <v/>
      </c>
      <c r="E23" t="inlineStr">
        <is>
          <t>Quantum Cooler</t>
        </is>
      </c>
      <c r="F23" s="31">
        <f>Upgrade_Params!D13</f>
        <v/>
      </c>
      <c r="G23" s="31">
        <f>Upgrade_Params!F13</f>
        <v/>
      </c>
    </row>
    <row r="24">
      <c r="A24">
        <f>Player_Levels!A14</f>
        <v/>
      </c>
      <c r="B24" s="31">
        <f>Player_Levels!C14</f>
        <v/>
      </c>
      <c r="C24" s="31">
        <f>Player_Levels!H14</f>
        <v/>
      </c>
      <c r="E24" t="inlineStr">
        <is>
          <t>AI Optimizer</t>
        </is>
      </c>
      <c r="F24" s="31">
        <f>Upgrade_Params!D14</f>
        <v/>
      </c>
      <c r="G24" s="31">
        <f>Upgrade_Params!F14</f>
        <v/>
      </c>
    </row>
    <row r="25">
      <c r="A25">
        <f>Player_Levels!A15</f>
        <v/>
      </c>
      <c r="B25" s="31">
        <f>Player_Levels!C15</f>
        <v/>
      </c>
      <c r="C25" s="31">
        <f>Player_Levels!H15</f>
        <v/>
      </c>
      <c r="E25" t="inlineStr">
        <is>
          <t>Fee Engine</t>
        </is>
      </c>
      <c r="F25" s="31">
        <f>Upgrade_Params!D15</f>
        <v/>
      </c>
      <c r="G25" s="31">
        <f>Upgrade_Params!F15</f>
        <v/>
      </c>
    </row>
    <row r="26">
      <c r="A26">
        <f>Player_Levels!A16</f>
        <v/>
      </c>
      <c r="B26" s="31">
        <f>Player_Levels!C16</f>
        <v/>
      </c>
      <c r="C26" s="31">
        <f>Player_Levels!H16</f>
        <v/>
      </c>
      <c r="E26" t="inlineStr">
        <is>
          <t>Premium Market</t>
        </is>
      </c>
      <c r="F26" s="31">
        <f>Upgrade_Params!D16</f>
        <v/>
      </c>
      <c r="G26" s="31">
        <f>Upgrade_Params!F16</f>
        <v/>
      </c>
    </row>
    <row r="27">
      <c r="A27">
        <f>Player_Levels!A17</f>
        <v/>
      </c>
      <c r="B27" s="31">
        <f>Player_Levels!C17</f>
        <v/>
      </c>
      <c r="C27" s="31">
        <f>Player_Levels!H17</f>
        <v/>
      </c>
      <c r="E27" t="inlineStr">
        <is>
          <t>Guild Program</t>
        </is>
      </c>
      <c r="F27" s="31">
        <f>Upgrade_Params!D17</f>
        <v/>
      </c>
      <c r="G27" s="31">
        <f>Upgrade_Params!F17</f>
        <v/>
      </c>
    </row>
    <row r="28">
      <c r="A28">
        <f>Player_Levels!A18</f>
        <v/>
      </c>
      <c r="B28" s="31">
        <f>Player_Levels!C18</f>
        <v/>
      </c>
      <c r="C28" s="31">
        <f>Player_Levels!H18</f>
        <v/>
      </c>
      <c r="E28" t="inlineStr">
        <is>
          <t>Risk Oracle</t>
        </is>
      </c>
      <c r="F28" s="31">
        <f>Upgrade_Params!D18</f>
        <v/>
      </c>
      <c r="G28" s="31">
        <f>Upgrade_Params!F18</f>
        <v/>
      </c>
    </row>
    <row r="29">
      <c r="A29">
        <f>Player_Levels!A19</f>
        <v/>
      </c>
      <c r="B29" s="31">
        <f>Player_Levels!C19</f>
        <v/>
      </c>
      <c r="C29" s="31">
        <f>Player_Levels!H19</f>
        <v/>
      </c>
      <c r="E29" t="inlineStr">
        <is>
          <t>Market Maker</t>
        </is>
      </c>
      <c r="F29" s="31">
        <f>Upgrade_Params!D19</f>
        <v/>
      </c>
      <c r="G29" s="31">
        <f>Upgrade_Params!F19</f>
        <v/>
      </c>
    </row>
    <row r="30">
      <c r="A30">
        <f>Player_Levels!A20</f>
        <v/>
      </c>
      <c r="B30" s="31">
        <f>Player_Levels!C20</f>
        <v/>
      </c>
      <c r="C30" s="31">
        <f>Player_Levels!H20</f>
        <v/>
      </c>
      <c r="E30" t="inlineStr">
        <is>
          <t>Auto-Tap Drones</t>
        </is>
      </c>
      <c r="F30" s="31">
        <f>Upgrade_Params!D20</f>
        <v/>
      </c>
      <c r="G30" s="31">
        <f>Upgrade_Params!F20</f>
        <v/>
      </c>
    </row>
    <row r="31">
      <c r="A31">
        <f>Player_Levels!A21</f>
        <v/>
      </c>
      <c r="B31" s="31">
        <f>Player_Levels!C21</f>
        <v/>
      </c>
      <c r="C31" s="31">
        <f>Player_Levels!H21</f>
        <v/>
      </c>
      <c r="E31" t="inlineStr">
        <is>
          <t>Mission Center</t>
        </is>
      </c>
      <c r="F31" s="31">
        <f>Upgrade_Params!D21</f>
        <v/>
      </c>
      <c r="G31" s="31">
        <f>Upgrade_Params!F21</f>
        <v/>
      </c>
    </row>
    <row r="32">
      <c r="A32">
        <f>Player_Levels!A22</f>
        <v/>
      </c>
      <c r="B32" s="31">
        <f>Player_Levels!C22</f>
        <v/>
      </c>
      <c r="C32" s="31">
        <f>Player_Levels!H22</f>
        <v/>
      </c>
      <c r="E32" t="inlineStr">
        <is>
          <t>Data Warehouse</t>
        </is>
      </c>
      <c r="F32" s="31">
        <f>Upgrade_Params!D22</f>
        <v/>
      </c>
      <c r="G32" s="31">
        <f>Upgrade_Params!F22</f>
        <v/>
      </c>
    </row>
    <row r="33">
      <c r="A33">
        <f>Player_Levels!A23</f>
        <v/>
      </c>
      <c r="B33" s="31">
        <f>Player_Levels!C23</f>
        <v/>
      </c>
      <c r="C33" s="31">
        <f>Player_Levels!H23</f>
        <v/>
      </c>
      <c r="E33" t="inlineStr">
        <is>
          <t>Whale Analytics</t>
        </is>
      </c>
      <c r="F33" s="31">
        <f>Upgrade_Params!D23</f>
        <v/>
      </c>
      <c r="G33" s="31">
        <f>Upgrade_Params!F23</f>
        <v/>
      </c>
    </row>
    <row r="34">
      <c r="A34">
        <f>Player_Levels!A24</f>
        <v/>
      </c>
      <c r="B34" s="31">
        <f>Player_Levels!C24</f>
        <v/>
      </c>
      <c r="C34" s="31">
        <f>Player_Levels!H24</f>
        <v/>
      </c>
      <c r="F34" s="31" t="n"/>
      <c r="G34" s="31" t="n"/>
    </row>
    <row r="35">
      <c r="A35">
        <f>Player_Levels!A25</f>
        <v/>
      </c>
      <c r="B35" s="31">
        <f>Player_Levels!C25</f>
        <v/>
      </c>
      <c r="C35" s="31">
        <f>Player_Levels!H25</f>
        <v/>
      </c>
      <c r="F35" s="31" t="n"/>
      <c r="G35" s="31" t="n"/>
    </row>
    <row r="36">
      <c r="A36">
        <f>Player_Levels!A26</f>
        <v/>
      </c>
      <c r="B36" s="31">
        <f>Player_Levels!C26</f>
        <v/>
      </c>
      <c r="C36" s="31">
        <f>Player_Levels!H26</f>
        <v/>
      </c>
      <c r="F36" s="31" t="n"/>
      <c r="G36" s="31" t="n"/>
    </row>
    <row r="37">
      <c r="A37">
        <f>Player_Levels!A27</f>
        <v/>
      </c>
      <c r="B37" s="31">
        <f>Player_Levels!C27</f>
        <v/>
      </c>
      <c r="C37" s="31">
        <f>Player_Levels!H27</f>
        <v/>
      </c>
      <c r="F37" s="31" t="n"/>
      <c r="G37" s="31" t="n"/>
    </row>
    <row r="38">
      <c r="A38">
        <f>Player_Levels!A28</f>
        <v/>
      </c>
      <c r="B38" s="31">
        <f>Player_Levels!C28</f>
        <v/>
      </c>
      <c r="C38" s="31">
        <f>Player_Levels!H28</f>
        <v/>
      </c>
      <c r="F38" s="31" t="n"/>
      <c r="G38" s="31" t="n"/>
    </row>
    <row r="39">
      <c r="A39">
        <f>Player_Levels!A29</f>
        <v/>
      </c>
      <c r="B39" s="31">
        <f>Player_Levels!C29</f>
        <v/>
      </c>
      <c r="C39" s="31">
        <f>Player_Levels!H29</f>
        <v/>
      </c>
      <c r="F39" s="31" t="n"/>
      <c r="G39" s="31" t="n"/>
    </row>
    <row r="40">
      <c r="A40">
        <f>Player_Levels!A30</f>
        <v/>
      </c>
      <c r="B40">
        <f>Player_Levels!C30</f>
        <v/>
      </c>
      <c r="C40">
        <f>Player_Levels!H30</f>
        <v/>
      </c>
    </row>
    <row r="41">
      <c r="A41">
        <f>Player_Levels!A31</f>
        <v/>
      </c>
      <c r="B41">
        <f>Player_Levels!C31</f>
        <v/>
      </c>
      <c r="C41">
        <f>Player_Levels!H31</f>
        <v/>
      </c>
    </row>
    <row r="42">
      <c r="A42">
        <f>Player_Levels!A32</f>
        <v/>
      </c>
      <c r="B42">
        <f>Player_Levels!C32</f>
        <v/>
      </c>
      <c r="C42">
        <f>Player_Levels!H32</f>
        <v/>
      </c>
    </row>
    <row r="43">
      <c r="A43">
        <f>Player_Levels!A33</f>
        <v/>
      </c>
      <c r="B43">
        <f>Player_Levels!C33</f>
        <v/>
      </c>
      <c r="C43">
        <f>Player_Levels!H33</f>
        <v/>
      </c>
    </row>
    <row r="44">
      <c r="A44">
        <f>Player_Levels!A34</f>
        <v/>
      </c>
      <c r="B44">
        <f>Player_Levels!C34</f>
        <v/>
      </c>
      <c r="C44">
        <f>Player_Levels!H34</f>
        <v/>
      </c>
    </row>
    <row r="45">
      <c r="A45">
        <f>Player_Levels!A35</f>
        <v/>
      </c>
      <c r="B45">
        <f>Player_Levels!C35</f>
        <v/>
      </c>
      <c r="C45">
        <f>Player_Levels!H35</f>
        <v/>
      </c>
    </row>
    <row r="46">
      <c r="A46">
        <f>Player_Levels!A36</f>
        <v/>
      </c>
      <c r="B46">
        <f>Player_Levels!C36</f>
        <v/>
      </c>
      <c r="C46">
        <f>Player_Levels!H36</f>
        <v/>
      </c>
    </row>
    <row r="47">
      <c r="A47">
        <f>Player_Levels!A37</f>
        <v/>
      </c>
      <c r="B47">
        <f>Player_Levels!C37</f>
        <v/>
      </c>
      <c r="C47">
        <f>Player_Levels!H37</f>
        <v/>
      </c>
    </row>
    <row r="48">
      <c r="A48">
        <f>Player_Levels!A38</f>
        <v/>
      </c>
      <c r="B48">
        <f>Player_Levels!C38</f>
        <v/>
      </c>
      <c r="C48">
        <f>Player_Levels!H38</f>
        <v/>
      </c>
    </row>
    <row r="49">
      <c r="A49">
        <f>Player_Levels!A39</f>
        <v/>
      </c>
      <c r="B49">
        <f>Player_Levels!C39</f>
        <v/>
      </c>
      <c r="C49">
        <f>Player_Levels!H39</f>
        <v/>
      </c>
    </row>
    <row r="50">
      <c r="A50">
        <f>Player_Levels!A40</f>
        <v/>
      </c>
      <c r="B50">
        <f>Player_Levels!C40</f>
        <v/>
      </c>
      <c r="C50">
        <f>Player_Levels!H40</f>
        <v/>
      </c>
    </row>
    <row r="51">
      <c r="A51">
        <f>Player_Levels!A41</f>
        <v/>
      </c>
      <c r="B51">
        <f>Player_Levels!C41</f>
        <v/>
      </c>
      <c r="C51">
        <f>Player_Levels!H41</f>
        <v/>
      </c>
    </row>
    <row r="52">
      <c r="A52">
        <f>Player_Levels!A42</f>
        <v/>
      </c>
      <c r="B52">
        <f>Player_Levels!C42</f>
        <v/>
      </c>
      <c r="C52">
        <f>Player_Levels!H42</f>
        <v/>
      </c>
    </row>
    <row r="53">
      <c r="A53">
        <f>Player_Levels!A43</f>
        <v/>
      </c>
      <c r="B53">
        <f>Player_Levels!C43</f>
        <v/>
      </c>
      <c r="C53">
        <f>Player_Levels!H43</f>
        <v/>
      </c>
    </row>
    <row r="54">
      <c r="A54">
        <f>Player_Levels!A44</f>
        <v/>
      </c>
      <c r="B54">
        <f>Player_Levels!C44</f>
        <v/>
      </c>
      <c r="C54">
        <f>Player_Levels!H44</f>
        <v/>
      </c>
    </row>
    <row r="55">
      <c r="A55">
        <f>Player_Levels!A45</f>
        <v/>
      </c>
      <c r="B55">
        <f>Player_Levels!C45</f>
        <v/>
      </c>
      <c r="C55">
        <f>Player_Levels!H45</f>
        <v/>
      </c>
    </row>
    <row r="56">
      <c r="A56">
        <f>Player_Levels!A46</f>
        <v/>
      </c>
      <c r="B56">
        <f>Player_Levels!C46</f>
        <v/>
      </c>
      <c r="C56">
        <f>Player_Levels!H46</f>
        <v/>
      </c>
    </row>
    <row r="57">
      <c r="A57">
        <f>Player_Levels!A47</f>
        <v/>
      </c>
      <c r="B57">
        <f>Player_Levels!C47</f>
        <v/>
      </c>
      <c r="C57">
        <f>Player_Levels!H47</f>
        <v/>
      </c>
    </row>
    <row r="58">
      <c r="A58">
        <f>Player_Levels!A48</f>
        <v/>
      </c>
      <c r="B58">
        <f>Player_Levels!C48</f>
        <v/>
      </c>
      <c r="C58">
        <f>Player_Levels!H48</f>
        <v/>
      </c>
    </row>
    <row r="59">
      <c r="A59">
        <f>Player_Levels!A49</f>
        <v/>
      </c>
      <c r="B59">
        <f>Player_Levels!C49</f>
        <v/>
      </c>
      <c r="C59">
        <f>Player_Levels!H49</f>
        <v/>
      </c>
    </row>
    <row r="60">
      <c r="A60">
        <f>Player_Levels!A50</f>
        <v/>
      </c>
      <c r="B60">
        <f>Player_Levels!C50</f>
        <v/>
      </c>
      <c r="C60">
        <f>Player_Levels!H50</f>
        <v/>
      </c>
    </row>
    <row r="61">
      <c r="A61">
        <f>Player_Levels!A51</f>
        <v/>
      </c>
      <c r="B61">
        <f>Player_Levels!C51</f>
        <v/>
      </c>
      <c r="C61">
        <f>Player_Levels!H51</f>
        <v/>
      </c>
    </row>
    <row r="62">
      <c r="A62">
        <f>Player_Levels!A52</f>
        <v/>
      </c>
      <c r="B62">
        <f>Player_Levels!C52</f>
        <v/>
      </c>
      <c r="C62">
        <f>Player_Levels!H52</f>
        <v/>
      </c>
    </row>
    <row r="63">
      <c r="A63">
        <f>Player_Levels!A53</f>
        <v/>
      </c>
      <c r="B63">
        <f>Player_Levels!C53</f>
        <v/>
      </c>
      <c r="C63">
        <f>Player_Levels!H53</f>
        <v/>
      </c>
    </row>
  </sheetData>
  <mergeCells count="4">
    <mergeCell ref="A12:C12"/>
    <mergeCell ref="A1:J1"/>
    <mergeCell ref="E12:G12"/>
    <mergeCell ref="D3:G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ADN Tap-to-Earn Progression Model</dc:title>
  <dcterms:created xmlns:dcterms="http://purl.org/dc/terms/" xmlns:xsi="http://www.w3.org/2001/XMLSchema-instance" xsi:type="dcterms:W3CDTF">2026-04-06T03:51:42Z</dcterms:created>
  <dcterms:modified xmlns:dcterms="http://purl.org/dc/terms/" xmlns:xsi="http://www.w3.org/2001/XMLSchema-instance" xsi:type="dcterms:W3CDTF">2026-04-06T03:54:48Z</dcterms:modified>
</cp:coreProperties>
</file>